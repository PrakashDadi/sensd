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MSL\SENS_D\Paula\Flow_Data\"/>
    </mc:Choice>
  </mc:AlternateContent>
  <xr:revisionPtr revIDLastSave="0" documentId="8_{BA66C8E1-E787-4DD8-9D4C-27DC2907AA13}" xr6:coauthVersionLast="47" xr6:coauthVersionMax="47" xr10:uidLastSave="{00000000-0000-0000-0000-000000000000}"/>
  <bookViews>
    <workbookView xWindow="-28920" yWindow="885" windowWidth="29040" windowHeight="15720" xr2:uid="{090670DE-9FA4-46B2-ACB4-DA8A5A4EACC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O3" i="1"/>
  <c r="N4" i="1"/>
  <c r="O4" i="1"/>
  <c r="N5" i="1"/>
  <c r="O5" i="1"/>
  <c r="N6" i="1"/>
  <c r="O6" i="1"/>
  <c r="N7" i="1"/>
  <c r="O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N50" i="1"/>
  <c r="O50" i="1"/>
  <c r="N51" i="1"/>
  <c r="O51" i="1"/>
  <c r="N52" i="1"/>
  <c r="O52" i="1"/>
  <c r="N53" i="1"/>
  <c r="O53" i="1"/>
  <c r="N54" i="1"/>
  <c r="O54" i="1"/>
  <c r="N55" i="1"/>
  <c r="O55" i="1"/>
  <c r="N56" i="1"/>
  <c r="O56" i="1"/>
  <c r="N57" i="1"/>
  <c r="O57" i="1"/>
  <c r="N58" i="1"/>
  <c r="O58" i="1"/>
  <c r="N59" i="1"/>
  <c r="O59" i="1"/>
  <c r="N60" i="1"/>
  <c r="O60" i="1"/>
  <c r="N61" i="1"/>
  <c r="O61" i="1"/>
  <c r="N62" i="1"/>
  <c r="O62" i="1"/>
  <c r="N63" i="1"/>
  <c r="O63" i="1"/>
  <c r="N64" i="1"/>
  <c r="O64" i="1"/>
  <c r="N65" i="1"/>
  <c r="O65" i="1"/>
  <c r="N66" i="1"/>
  <c r="O66" i="1"/>
  <c r="N67" i="1"/>
  <c r="O67" i="1"/>
  <c r="N68" i="1"/>
  <c r="O68" i="1"/>
  <c r="N69" i="1"/>
  <c r="O69" i="1"/>
  <c r="O2" i="1"/>
  <c r="N2" i="1"/>
  <c r="I3" i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J2" i="1"/>
  <c r="I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2" i="1"/>
</calcChain>
</file>

<file path=xl/sharedStrings.xml><?xml version="1.0" encoding="utf-8"?>
<sst xmlns="http://schemas.openxmlformats.org/spreadsheetml/2006/main" count="448" uniqueCount="125">
  <si>
    <t>Product_Type_i</t>
  </si>
  <si>
    <t>From_ID</t>
  </si>
  <si>
    <t>Product_Type_j</t>
  </si>
  <si>
    <t>To_ID</t>
  </si>
  <si>
    <t>Quantity</t>
  </si>
  <si>
    <t>Raw</t>
  </si>
  <si>
    <t xml:space="preserve"> Raw</t>
  </si>
  <si>
    <t>Semicooked</t>
  </si>
  <si>
    <t xml:space="preserve"> Semicooked</t>
  </si>
  <si>
    <t>Cooked</t>
  </si>
  <si>
    <t xml:space="preserve"> Cooked</t>
  </si>
  <si>
    <t>ID</t>
  </si>
  <si>
    <t>Node</t>
  </si>
  <si>
    <t>Type</t>
  </si>
  <si>
    <t>City / Area</t>
  </si>
  <si>
    <t>State</t>
  </si>
  <si>
    <t>Latitude</t>
  </si>
  <si>
    <t>Longitude</t>
  </si>
  <si>
    <t>Farm1</t>
  </si>
  <si>
    <t>Midwest Poultry Farm</t>
  </si>
  <si>
    <t>Farm</t>
  </si>
  <si>
    <t>Near Sedalia</t>
  </si>
  <si>
    <t>MO</t>
  </si>
  <si>
    <t>Farm2</t>
  </si>
  <si>
    <t>Golden Valley Poultry</t>
  </si>
  <si>
    <t>Near Springfield</t>
  </si>
  <si>
    <t>Farm3</t>
  </si>
  <si>
    <t>Heartland Poultry Co.</t>
  </si>
  <si>
    <t>Southern Illinois</t>
  </si>
  <si>
    <t>IL</t>
  </si>
  <si>
    <t>Farm4</t>
  </si>
  <si>
    <t>Mississippi River Farms</t>
  </si>
  <si>
    <t>Near St. Louis</t>
  </si>
  <si>
    <t>Farm5</t>
  </si>
  <si>
    <t>Prairie State Poultry</t>
  </si>
  <si>
    <t>Central Illinois</t>
  </si>
  <si>
    <t>Farm6</t>
  </si>
  <si>
    <t>Ozark Ridge Poultry</t>
  </si>
  <si>
    <t>Near Joplin</t>
  </si>
  <si>
    <t>Farm7</t>
  </si>
  <si>
    <t>Gateway Farms</t>
  </si>
  <si>
    <t>Near East St. Louis</t>
  </si>
  <si>
    <t>Processor1</t>
  </si>
  <si>
    <t>Springfield Processor</t>
  </si>
  <si>
    <t>Processor</t>
  </si>
  <si>
    <t>Springfield</t>
  </si>
  <si>
    <t>Processor2</t>
  </si>
  <si>
    <t>St. Louis Processing Facility</t>
  </si>
  <si>
    <t>St. Louis</t>
  </si>
  <si>
    <t>Processor3</t>
  </si>
  <si>
    <t>Kansas City Processing Hub</t>
  </si>
  <si>
    <t>Topeka</t>
  </si>
  <si>
    <t>KS</t>
  </si>
  <si>
    <t>Processor4</t>
  </si>
  <si>
    <t>Monett Poultry Processor</t>
  </si>
  <si>
    <t>Monett</t>
  </si>
  <si>
    <t>Processor5</t>
  </si>
  <si>
    <t>Arthur Poultry Processing</t>
  </si>
  <si>
    <t>Peoria</t>
  </si>
  <si>
    <t>Processor6</t>
  </si>
  <si>
    <t>Fort Smith Regional Processor</t>
  </si>
  <si>
    <t>Fort Smith</t>
  </si>
  <si>
    <t>AR</t>
  </si>
  <si>
    <t>Warehouse1</t>
  </si>
  <si>
    <t>St. Louis Regional Cold DC</t>
  </si>
  <si>
    <t>Warehouse / Cold DC</t>
  </si>
  <si>
    <t>O'Fallon</t>
  </si>
  <si>
    <t>Warehouse2</t>
  </si>
  <si>
    <t>Kansas City Cold Storage Hub</t>
  </si>
  <si>
    <t>Warehouse / Cold Storage</t>
  </si>
  <si>
    <t>Kansas City</t>
  </si>
  <si>
    <t>Warehouse3</t>
  </si>
  <si>
    <t>Chicago Metro Cold Warehouse</t>
  </si>
  <si>
    <t>Hammond (Chicago Metro)</t>
  </si>
  <si>
    <t>IN</t>
  </si>
  <si>
    <t>Market1</t>
  </si>
  <si>
    <t>St. Louis Metro Market</t>
  </si>
  <si>
    <t>Demand Market</t>
  </si>
  <si>
    <t>St. Louis Metro</t>
  </si>
  <si>
    <t>MO–IL</t>
  </si>
  <si>
    <t>Market2</t>
  </si>
  <si>
    <t>Kansas City Metro Market</t>
  </si>
  <si>
    <t>Kansas City Metro</t>
  </si>
  <si>
    <t>MO–KS</t>
  </si>
  <si>
    <t>Market3</t>
  </si>
  <si>
    <t>Springfield Consumer Market</t>
  </si>
  <si>
    <t>Market4</t>
  </si>
  <si>
    <t>Chicago Metro Market</t>
  </si>
  <si>
    <t>Chicago</t>
  </si>
  <si>
    <t>Market5</t>
  </si>
  <si>
    <t>Bloomington Consumer Market</t>
  </si>
  <si>
    <t>Bloomington–Normal</t>
  </si>
  <si>
    <t>Market6</t>
  </si>
  <si>
    <t>Wichita Consumer Market</t>
  </si>
  <si>
    <t>Wichita</t>
  </si>
  <si>
    <t>Market7</t>
  </si>
  <si>
    <t>Saint Francis Consumer Market</t>
  </si>
  <si>
    <t>Saint Francis</t>
  </si>
  <si>
    <t>Foodbank1</t>
  </si>
  <si>
    <t>St. Louis Area Foodbank</t>
  </si>
  <si>
    <t>Foodbank</t>
  </si>
  <si>
    <t>Foodbank2</t>
  </si>
  <si>
    <t>Northern Illinois Food Bank</t>
  </si>
  <si>
    <t>Near Chicago</t>
  </si>
  <si>
    <t>Foodbank3</t>
  </si>
  <si>
    <t>Central &amp; Southern Illinois Foodbank</t>
  </si>
  <si>
    <t>Retailer1</t>
  </si>
  <si>
    <t>Harvesters Community Food Network</t>
  </si>
  <si>
    <t>Retailer2</t>
  </si>
  <si>
    <t>Rolla Retailers</t>
  </si>
  <si>
    <t>Rolla</t>
  </si>
  <si>
    <t>Retailer3</t>
  </si>
  <si>
    <t>Retailer4</t>
  </si>
  <si>
    <t>Retailer5</t>
  </si>
  <si>
    <t>Springfield Protein Processor</t>
  </si>
  <si>
    <t>From_Node</t>
  </si>
  <si>
    <t>From_City_Area</t>
  </si>
  <si>
    <t>From_State</t>
  </si>
  <si>
    <t>To_Node</t>
  </si>
  <si>
    <t>To_City_Area</t>
  </si>
  <si>
    <t>To_State</t>
  </si>
  <si>
    <t>From_Longitude</t>
  </si>
  <si>
    <t>From_Latitude</t>
  </si>
  <si>
    <t>To_Latitude</t>
  </si>
  <si>
    <t>To_Longitude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</si>
</sst>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0" fillId="0" borderId="1" xfId="0" applyBorder="1"/>
    <xf numFmtId="4" fontId="0" fillId="0" borderId="1" xfId="0" applyNumberFormat="1" applyBorder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2" xfId="0" applyFont="1" applyBorder="1"/>
    <xf numFmtId="0" fontId="3" fillId="0" borderId="2" xfId="0" applyFont="1" applyBorder="1" applyAlignment="1">
      <alignment vertical="center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2" borderId="3" xfId="0" applyFont="1" applyFill="1" applyBorder="1"/>
    <xf numFmtId="0" fontId="3" fillId="2" borderId="3" xfId="0" applyFont="1" applyFill="1" applyBorder="1" applyAlignment="1">
      <alignment vertical="center"/>
    </xf>
    <xf numFmtId="0" fontId="4" fillId="0" borderId="0" xfId="0" applyFont="1"/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1" fillId="0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E24BC-1B34-44BF-83DC-FDF9A373BB44}">
  <dimension ref="A1:O69"/>
  <sheetViews>
    <sheetView tabSelected="1" workbookViewId="0">
      <selection activeCell="F3" sqref="F3"/>
    </sheetView>
  </sheetViews>
  <sheetFormatPr defaultRowHeight="14.5" x14ac:dyDescent="0.35"/>
  <cols>
    <col min="1" max="1" width="14" bestFit="1" customWidth="1"/>
    <col min="2" max="2" width="11.81640625" bestFit="1" customWidth="1"/>
    <col min="3" max="3" width="14" bestFit="1" customWidth="1"/>
    <col min="4" max="4" width="11.81640625" bestFit="1" customWidth="1"/>
    <col min="5" max="5" width="8.90625" bestFit="1" customWidth="1"/>
    <col min="6" max="6" width="32.54296875" bestFit="1" customWidth="1"/>
    <col min="7" max="7" width="24" bestFit="1" customWidth="1"/>
    <col min="8" max="8" width="10.6328125" bestFit="1" customWidth="1"/>
    <col min="9" max="10" width="14.81640625" bestFit="1" customWidth="1"/>
    <col min="11" max="11" width="32.54296875" bestFit="1" customWidth="1"/>
    <col min="12" max="12" width="24" bestFit="1" customWidth="1"/>
    <col min="13" max="13" width="10.6328125" bestFit="1" customWidth="1"/>
    <col min="14" max="14" width="10.90625" bestFit="1" customWidth="1"/>
    <col min="15" max="15" width="12.542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7" t="s">
        <v>115</v>
      </c>
      <c r="G1" s="17" t="s">
        <v>116</v>
      </c>
      <c r="H1" s="17" t="s">
        <v>117</v>
      </c>
      <c r="I1" s="17" t="s">
        <v>122</v>
      </c>
      <c r="J1" s="17" t="s">
        <v>121</v>
      </c>
      <c r="K1" s="17" t="s">
        <v>118</v>
      </c>
      <c r="L1" s="17" t="s">
        <v>119</v>
      </c>
      <c r="M1" s="17" t="s">
        <v>120</v>
      </c>
      <c r="N1" s="17" t="s">
        <v>123</v>
      </c>
      <c r="O1" s="17" t="s">
        <v>124</v>
      </c>
    </row>
    <row r="2" spans="1:15" x14ac:dyDescent="0.35">
      <c r="A2" s="2" t="s">
        <v>5</v>
      </c>
      <c r="B2" s="6" t="s">
        <v>18</v>
      </c>
      <c r="C2" s="2" t="s">
        <v>6</v>
      </c>
      <c r="D2" s="2" t="s">
        <v>49</v>
      </c>
      <c r="E2" s="3">
        <v>4000</v>
      </c>
      <c r="F2" t="str">
        <f>VLOOKUP(B2,Sheet2!$A$2:$G$32,2,FALSE)</f>
        <v>Midwest Poultry Farm</v>
      </c>
      <c r="G2" t="str">
        <f>VLOOKUP(B2,Sheet2!$A$2:$G$32,4,FALSE)</f>
        <v>Near Sedalia</v>
      </c>
      <c r="H2" t="str">
        <f>VLOOKUP(B2,Sheet2!$A$2:$G$32,5,FALSE)</f>
        <v>MO</v>
      </c>
      <c r="I2">
        <f>VLOOKUP(B2,Sheet2!$A$2:$G$32,6,FALSE)</f>
        <v>38.752989999999997</v>
      </c>
      <c r="J2">
        <f>VLOOKUP(B2,Sheet2!$A$2:$G$32,7,FALSE)</f>
        <v>-93.304969999999997</v>
      </c>
      <c r="K2" t="str">
        <f>VLOOKUP(D2,Sheet2!$A$2:$G$32,2,FALSE)</f>
        <v>Kansas City Processing Hub</v>
      </c>
      <c r="L2" t="str">
        <f>VLOOKUP(D2,Sheet2!$A$2:$G$32,4,FALSE)</f>
        <v>Topeka</v>
      </c>
      <c r="M2" t="str">
        <f>VLOOKUP(D2,Sheet2!$A$2:$G$32,5,FALSE)</f>
        <v>KS</v>
      </c>
      <c r="N2">
        <f>VLOOKUP(D2,Sheet2!$A$2:$G$32,6,FALSE)</f>
        <v>39.161321000000001</v>
      </c>
      <c r="O2">
        <f>VLOOKUP(D2,Sheet2!$A$2:$G$32,7,FALSE)</f>
        <v>-95.665030000000002</v>
      </c>
    </row>
    <row r="3" spans="1:15" x14ac:dyDescent="0.35">
      <c r="A3" s="2" t="s">
        <v>5</v>
      </c>
      <c r="B3" s="2" t="s">
        <v>18</v>
      </c>
      <c r="C3" s="2" t="s">
        <v>6</v>
      </c>
      <c r="D3" s="2" t="s">
        <v>53</v>
      </c>
      <c r="E3" s="3">
        <v>4000</v>
      </c>
      <c r="F3" t="str">
        <f>VLOOKUP(B3,Sheet2!$A$2:$G$32,2,FALSE)</f>
        <v>Midwest Poultry Farm</v>
      </c>
      <c r="G3" t="str">
        <f>VLOOKUP(B3,Sheet2!$A$2:$G$32,4,FALSE)</f>
        <v>Near Sedalia</v>
      </c>
      <c r="H3" t="str">
        <f>VLOOKUP(B3,Sheet2!$A$2:$G$32,5,FALSE)</f>
        <v>MO</v>
      </c>
      <c r="I3">
        <f>VLOOKUP(B3,Sheet2!$A$2:$G$32,6,FALSE)</f>
        <v>38.752989999999997</v>
      </c>
      <c r="J3">
        <f>VLOOKUP(B3,Sheet2!$A$2:$G$32,7,FALSE)</f>
        <v>-93.304969999999997</v>
      </c>
      <c r="K3" t="str">
        <f>VLOOKUP(D3,Sheet2!$A$2:$G$32,2,FALSE)</f>
        <v>Monett Poultry Processor</v>
      </c>
      <c r="L3" t="str">
        <f>VLOOKUP(D3,Sheet2!$A$2:$G$32,4,FALSE)</f>
        <v>Monett</v>
      </c>
      <c r="M3" t="str">
        <f>VLOOKUP(D3,Sheet2!$A$2:$G$32,5,FALSE)</f>
        <v>MO</v>
      </c>
      <c r="N3">
        <f>VLOOKUP(D3,Sheet2!$A$2:$G$32,6,FALSE)</f>
        <v>36.917831999999997</v>
      </c>
      <c r="O3">
        <f>VLOOKUP(D3,Sheet2!$A$2:$G$32,7,FALSE)</f>
        <v>-93.914219000000003</v>
      </c>
    </row>
    <row r="4" spans="1:15" x14ac:dyDescent="0.35">
      <c r="A4" s="2" t="s">
        <v>5</v>
      </c>
      <c r="B4" s="2" t="s">
        <v>23</v>
      </c>
      <c r="C4" s="2" t="s">
        <v>6</v>
      </c>
      <c r="D4" s="2" t="s">
        <v>53</v>
      </c>
      <c r="E4" s="3">
        <v>4000</v>
      </c>
      <c r="F4" t="str">
        <f>VLOOKUP(B4,Sheet2!$A$2:$G$32,2,FALSE)</f>
        <v>Golden Valley Poultry</v>
      </c>
      <c r="G4" t="str">
        <f>VLOOKUP(B4,Sheet2!$A$2:$G$32,4,FALSE)</f>
        <v>Near Springfield</v>
      </c>
      <c r="H4" t="str">
        <f>VLOOKUP(B4,Sheet2!$A$2:$G$32,5,FALSE)</f>
        <v>MO</v>
      </c>
      <c r="I4">
        <f>VLOOKUP(B4,Sheet2!$A$2:$G$32,6,FALSE)</f>
        <v>37.280709999999999</v>
      </c>
      <c r="J4">
        <f>VLOOKUP(B4,Sheet2!$A$2:$G$32,7,FALSE)</f>
        <v>-93.242500000000007</v>
      </c>
      <c r="K4" t="str">
        <f>VLOOKUP(D4,Sheet2!$A$2:$G$32,2,FALSE)</f>
        <v>Monett Poultry Processor</v>
      </c>
      <c r="L4" t="str">
        <f>VLOOKUP(D4,Sheet2!$A$2:$G$32,4,FALSE)</f>
        <v>Monett</v>
      </c>
      <c r="M4" t="str">
        <f>VLOOKUP(D4,Sheet2!$A$2:$G$32,5,FALSE)</f>
        <v>MO</v>
      </c>
      <c r="N4">
        <f>VLOOKUP(D4,Sheet2!$A$2:$G$32,6,FALSE)</f>
        <v>36.917831999999997</v>
      </c>
      <c r="O4">
        <f>VLOOKUP(D4,Sheet2!$A$2:$G$32,7,FALSE)</f>
        <v>-93.914219000000003</v>
      </c>
    </row>
    <row r="5" spans="1:15" x14ac:dyDescent="0.35">
      <c r="A5" s="2" t="s">
        <v>5</v>
      </c>
      <c r="B5" s="2" t="s">
        <v>23</v>
      </c>
      <c r="C5" s="2" t="s">
        <v>6</v>
      </c>
      <c r="D5" s="2" t="s">
        <v>59</v>
      </c>
      <c r="E5" s="3">
        <v>4000</v>
      </c>
      <c r="F5" t="str">
        <f>VLOOKUP(B5,Sheet2!$A$2:$G$32,2,FALSE)</f>
        <v>Golden Valley Poultry</v>
      </c>
      <c r="G5" t="str">
        <f>VLOOKUP(B5,Sheet2!$A$2:$G$32,4,FALSE)</f>
        <v>Near Springfield</v>
      </c>
      <c r="H5" t="str">
        <f>VLOOKUP(B5,Sheet2!$A$2:$G$32,5,FALSE)</f>
        <v>MO</v>
      </c>
      <c r="I5">
        <f>VLOOKUP(B5,Sheet2!$A$2:$G$32,6,FALSE)</f>
        <v>37.280709999999999</v>
      </c>
      <c r="J5">
        <f>VLOOKUP(B5,Sheet2!$A$2:$G$32,7,FALSE)</f>
        <v>-93.242500000000007</v>
      </c>
      <c r="K5" t="str">
        <f>VLOOKUP(D5,Sheet2!$A$2:$G$32,2,FALSE)</f>
        <v>Fort Smith Regional Processor</v>
      </c>
      <c r="L5" t="str">
        <f>VLOOKUP(D5,Sheet2!$A$2:$G$32,4,FALSE)</f>
        <v>Fort Smith</v>
      </c>
      <c r="M5" t="str">
        <f>VLOOKUP(D5,Sheet2!$A$2:$G$32,5,FALSE)</f>
        <v>AR</v>
      </c>
      <c r="N5">
        <f>VLOOKUP(D5,Sheet2!$A$2:$G$32,6,FALSE)</f>
        <v>35.496490999999999</v>
      </c>
      <c r="O5">
        <f>VLOOKUP(D5,Sheet2!$A$2:$G$32,7,FALSE)</f>
        <v>-94.299086000000003</v>
      </c>
    </row>
    <row r="6" spans="1:15" x14ac:dyDescent="0.35">
      <c r="A6" s="2" t="s">
        <v>5</v>
      </c>
      <c r="B6" s="2" t="s">
        <v>26</v>
      </c>
      <c r="C6" s="2" t="s">
        <v>6</v>
      </c>
      <c r="D6" s="2" t="s">
        <v>42</v>
      </c>
      <c r="E6" s="3">
        <v>4000</v>
      </c>
      <c r="F6" t="str">
        <f>VLOOKUP(B6,Sheet2!$A$2:$G$32,2,FALSE)</f>
        <v>Heartland Poultry Co.</v>
      </c>
      <c r="G6" t="str">
        <f>VLOOKUP(B6,Sheet2!$A$2:$G$32,4,FALSE)</f>
        <v>Southern Illinois</v>
      </c>
      <c r="H6" t="str">
        <f>VLOOKUP(B6,Sheet2!$A$2:$G$32,5,FALSE)</f>
        <v>IL</v>
      </c>
      <c r="I6">
        <f>VLOOKUP(B6,Sheet2!$A$2:$G$32,6,FALSE)</f>
        <v>38.01708</v>
      </c>
      <c r="J6">
        <f>VLOOKUP(B6,Sheet2!$A$2:$G$32,7,FALSE)</f>
        <v>-89.014179999999996</v>
      </c>
      <c r="K6" t="str">
        <f>VLOOKUP(D6,Sheet2!$A$2:$G$32,2,FALSE)</f>
        <v>Springfield Processor</v>
      </c>
      <c r="L6" t="str">
        <f>VLOOKUP(D6,Sheet2!$A$2:$G$32,4,FALSE)</f>
        <v>Springfield</v>
      </c>
      <c r="M6" t="str">
        <f>VLOOKUP(D6,Sheet2!$A$2:$G$32,5,FALSE)</f>
        <v>IL</v>
      </c>
      <c r="N6">
        <f>VLOOKUP(D6,Sheet2!$A$2:$G$32,6,FALSE)</f>
        <v>39.841932999999997</v>
      </c>
      <c r="O6">
        <f>VLOOKUP(D6,Sheet2!$A$2:$G$32,7,FALSE)</f>
        <v>-89.642167000000001</v>
      </c>
    </row>
    <row r="7" spans="1:15" x14ac:dyDescent="0.35">
      <c r="A7" s="2" t="s">
        <v>5</v>
      </c>
      <c r="B7" s="2" t="s">
        <v>26</v>
      </c>
      <c r="C7" s="2" t="s">
        <v>6</v>
      </c>
      <c r="D7" s="2" t="s">
        <v>46</v>
      </c>
      <c r="E7" s="3">
        <v>55000</v>
      </c>
      <c r="F7" t="str">
        <f>VLOOKUP(B7,Sheet2!$A$2:$G$32,2,FALSE)</f>
        <v>Heartland Poultry Co.</v>
      </c>
      <c r="G7" t="str">
        <f>VLOOKUP(B7,Sheet2!$A$2:$G$32,4,FALSE)</f>
        <v>Southern Illinois</v>
      </c>
      <c r="H7" t="str">
        <f>VLOOKUP(B7,Sheet2!$A$2:$G$32,5,FALSE)</f>
        <v>IL</v>
      </c>
      <c r="I7">
        <f>VLOOKUP(B7,Sheet2!$A$2:$G$32,6,FALSE)</f>
        <v>38.01708</v>
      </c>
      <c r="J7">
        <f>VLOOKUP(B7,Sheet2!$A$2:$G$32,7,FALSE)</f>
        <v>-89.014179999999996</v>
      </c>
      <c r="K7" t="str">
        <f>VLOOKUP(D7,Sheet2!$A$2:$G$32,2,FALSE)</f>
        <v>St. Louis Processing Facility</v>
      </c>
      <c r="L7" t="str">
        <f>VLOOKUP(D7,Sheet2!$A$2:$G$32,4,FALSE)</f>
        <v>St. Louis</v>
      </c>
      <c r="M7" t="str">
        <f>VLOOKUP(D7,Sheet2!$A$2:$G$32,5,FALSE)</f>
        <v>MO</v>
      </c>
      <c r="N7">
        <f>VLOOKUP(D7,Sheet2!$A$2:$G$32,6,FALSE)</f>
        <v>38.540593000000001</v>
      </c>
      <c r="O7">
        <f>VLOOKUP(D7,Sheet2!$A$2:$G$32,7,FALSE)</f>
        <v>-90.460896000000005</v>
      </c>
    </row>
    <row r="8" spans="1:15" x14ac:dyDescent="0.35">
      <c r="A8" s="2" t="s">
        <v>5</v>
      </c>
      <c r="B8" s="2" t="s">
        <v>26</v>
      </c>
      <c r="C8" s="2" t="s">
        <v>6</v>
      </c>
      <c r="D8" s="2" t="s">
        <v>56</v>
      </c>
      <c r="E8" s="3">
        <v>34687.429100000001</v>
      </c>
      <c r="F8" t="str">
        <f>VLOOKUP(B8,Sheet2!$A$2:$G$32,2,FALSE)</f>
        <v>Heartland Poultry Co.</v>
      </c>
      <c r="G8" t="str">
        <f>VLOOKUP(B8,Sheet2!$A$2:$G$32,4,FALSE)</f>
        <v>Southern Illinois</v>
      </c>
      <c r="H8" t="str">
        <f>VLOOKUP(B8,Sheet2!$A$2:$G$32,5,FALSE)</f>
        <v>IL</v>
      </c>
      <c r="I8">
        <f>VLOOKUP(B8,Sheet2!$A$2:$G$32,6,FALSE)</f>
        <v>38.01708</v>
      </c>
      <c r="J8">
        <f>VLOOKUP(B8,Sheet2!$A$2:$G$32,7,FALSE)</f>
        <v>-89.014179999999996</v>
      </c>
      <c r="K8" t="str">
        <f>VLOOKUP(D8,Sheet2!$A$2:$G$32,2,FALSE)</f>
        <v>Arthur Poultry Processing</v>
      </c>
      <c r="L8" t="str">
        <f>VLOOKUP(D8,Sheet2!$A$2:$G$32,4,FALSE)</f>
        <v>Peoria</v>
      </c>
      <c r="M8" t="str">
        <f>VLOOKUP(D8,Sheet2!$A$2:$G$32,5,FALSE)</f>
        <v>IL</v>
      </c>
      <c r="N8">
        <f>VLOOKUP(D8,Sheet2!$A$2:$G$32,6,FALSE)</f>
        <v>40.704707999999997</v>
      </c>
      <c r="O8">
        <f>VLOOKUP(D8,Sheet2!$A$2:$G$32,7,FALSE)</f>
        <v>-89.272330999999994</v>
      </c>
    </row>
    <row r="9" spans="1:15" x14ac:dyDescent="0.35">
      <c r="A9" s="2" t="s">
        <v>5</v>
      </c>
      <c r="B9" s="2" t="s">
        <v>30</v>
      </c>
      <c r="C9" s="2" t="s">
        <v>6</v>
      </c>
      <c r="D9" s="2" t="s">
        <v>42</v>
      </c>
      <c r="E9" s="3">
        <v>4000</v>
      </c>
      <c r="F9" t="str">
        <f>VLOOKUP(B9,Sheet2!$A$2:$G$32,2,FALSE)</f>
        <v>Mississippi River Farms</v>
      </c>
      <c r="G9" t="str">
        <f>VLOOKUP(B9,Sheet2!$A$2:$G$32,4,FALSE)</f>
        <v>Near St. Louis</v>
      </c>
      <c r="H9" t="str">
        <f>VLOOKUP(B9,Sheet2!$A$2:$G$32,5,FALSE)</f>
        <v>MO</v>
      </c>
      <c r="I9">
        <f>VLOOKUP(B9,Sheet2!$A$2:$G$32,6,FALSE)</f>
        <v>38.931370000000001</v>
      </c>
      <c r="J9">
        <f>VLOOKUP(B9,Sheet2!$A$2:$G$32,7,FALSE)</f>
        <v>-90.123019999999997</v>
      </c>
      <c r="K9" t="str">
        <f>VLOOKUP(D9,Sheet2!$A$2:$G$32,2,FALSE)</f>
        <v>Springfield Processor</v>
      </c>
      <c r="L9" t="str">
        <f>VLOOKUP(D9,Sheet2!$A$2:$G$32,4,FALSE)</f>
        <v>Springfield</v>
      </c>
      <c r="M9" t="str">
        <f>VLOOKUP(D9,Sheet2!$A$2:$G$32,5,FALSE)</f>
        <v>IL</v>
      </c>
      <c r="N9">
        <f>VLOOKUP(D9,Sheet2!$A$2:$G$32,6,FALSE)</f>
        <v>39.841932999999997</v>
      </c>
      <c r="O9">
        <f>VLOOKUP(D9,Sheet2!$A$2:$G$32,7,FALSE)</f>
        <v>-89.642167000000001</v>
      </c>
    </row>
    <row r="10" spans="1:15" x14ac:dyDescent="0.35">
      <c r="A10" s="2" t="s">
        <v>5</v>
      </c>
      <c r="B10" s="2" t="s">
        <v>30</v>
      </c>
      <c r="C10" s="2" t="s">
        <v>6</v>
      </c>
      <c r="D10" s="2" t="s">
        <v>46</v>
      </c>
      <c r="E10" s="3">
        <v>4000</v>
      </c>
      <c r="F10" t="str">
        <f>VLOOKUP(B10,Sheet2!$A$2:$G$32,2,FALSE)</f>
        <v>Mississippi River Farms</v>
      </c>
      <c r="G10" t="str">
        <f>VLOOKUP(B10,Sheet2!$A$2:$G$32,4,FALSE)</f>
        <v>Near St. Louis</v>
      </c>
      <c r="H10" t="str">
        <f>VLOOKUP(B10,Sheet2!$A$2:$G$32,5,FALSE)</f>
        <v>MO</v>
      </c>
      <c r="I10">
        <f>VLOOKUP(B10,Sheet2!$A$2:$G$32,6,FALSE)</f>
        <v>38.931370000000001</v>
      </c>
      <c r="J10">
        <f>VLOOKUP(B10,Sheet2!$A$2:$G$32,7,FALSE)</f>
        <v>-90.123019999999997</v>
      </c>
      <c r="K10" t="str">
        <f>VLOOKUP(D10,Sheet2!$A$2:$G$32,2,FALSE)</f>
        <v>St. Louis Processing Facility</v>
      </c>
      <c r="L10" t="str">
        <f>VLOOKUP(D10,Sheet2!$A$2:$G$32,4,FALSE)</f>
        <v>St. Louis</v>
      </c>
      <c r="M10" t="str">
        <f>VLOOKUP(D10,Sheet2!$A$2:$G$32,5,FALSE)</f>
        <v>MO</v>
      </c>
      <c r="N10">
        <f>VLOOKUP(D10,Sheet2!$A$2:$G$32,6,FALSE)</f>
        <v>38.540593000000001</v>
      </c>
      <c r="O10">
        <f>VLOOKUP(D10,Sheet2!$A$2:$G$32,7,FALSE)</f>
        <v>-90.460896000000005</v>
      </c>
    </row>
    <row r="11" spans="1:15" x14ac:dyDescent="0.35">
      <c r="A11" s="2" t="s">
        <v>5</v>
      </c>
      <c r="B11" s="2" t="s">
        <v>30</v>
      </c>
      <c r="C11" s="2" t="s">
        <v>6</v>
      </c>
      <c r="D11" s="2" t="s">
        <v>56</v>
      </c>
      <c r="E11" s="3">
        <v>4000</v>
      </c>
      <c r="F11" t="str">
        <f>VLOOKUP(B11,Sheet2!$A$2:$G$32,2,FALSE)</f>
        <v>Mississippi River Farms</v>
      </c>
      <c r="G11" t="str">
        <f>VLOOKUP(B11,Sheet2!$A$2:$G$32,4,FALSE)</f>
        <v>Near St. Louis</v>
      </c>
      <c r="H11" t="str">
        <f>VLOOKUP(B11,Sheet2!$A$2:$G$32,5,FALSE)</f>
        <v>MO</v>
      </c>
      <c r="I11">
        <f>VLOOKUP(B11,Sheet2!$A$2:$G$32,6,FALSE)</f>
        <v>38.931370000000001</v>
      </c>
      <c r="J11">
        <f>VLOOKUP(B11,Sheet2!$A$2:$G$32,7,FALSE)</f>
        <v>-90.123019999999997</v>
      </c>
      <c r="K11" t="str">
        <f>VLOOKUP(D11,Sheet2!$A$2:$G$32,2,FALSE)</f>
        <v>Arthur Poultry Processing</v>
      </c>
      <c r="L11" t="str">
        <f>VLOOKUP(D11,Sheet2!$A$2:$G$32,4,FALSE)</f>
        <v>Peoria</v>
      </c>
      <c r="M11" t="str">
        <f>VLOOKUP(D11,Sheet2!$A$2:$G$32,5,FALSE)</f>
        <v>IL</v>
      </c>
      <c r="N11">
        <f>VLOOKUP(D11,Sheet2!$A$2:$G$32,6,FALSE)</f>
        <v>40.704707999999997</v>
      </c>
      <c r="O11">
        <f>VLOOKUP(D11,Sheet2!$A$2:$G$32,7,FALSE)</f>
        <v>-89.272330999999994</v>
      </c>
    </row>
    <row r="12" spans="1:15" x14ac:dyDescent="0.35">
      <c r="A12" s="2" t="s">
        <v>5</v>
      </c>
      <c r="B12" s="2" t="s">
        <v>39</v>
      </c>
      <c r="C12" s="2" t="s">
        <v>6</v>
      </c>
      <c r="D12" s="2" t="s">
        <v>42</v>
      </c>
      <c r="E12" s="3">
        <v>26666.666700000002</v>
      </c>
      <c r="F12" t="str">
        <f>VLOOKUP(B12,Sheet2!$A$2:$G$32,2,FALSE)</f>
        <v>Gateway Farms</v>
      </c>
      <c r="G12" t="str">
        <f>VLOOKUP(B12,Sheet2!$A$2:$G$32,4,FALSE)</f>
        <v>Near East St. Louis</v>
      </c>
      <c r="H12" t="str">
        <f>VLOOKUP(B12,Sheet2!$A$2:$G$32,5,FALSE)</f>
        <v>IL</v>
      </c>
      <c r="I12">
        <f>VLOOKUP(B12,Sheet2!$A$2:$G$32,6,FALSE)</f>
        <v>38.525469999999999</v>
      </c>
      <c r="J12">
        <f>VLOOKUP(B12,Sheet2!$A$2:$G$32,7,FALSE)</f>
        <v>-90.156570000000002</v>
      </c>
      <c r="K12" t="str">
        <f>VLOOKUP(D12,Sheet2!$A$2:$G$32,2,FALSE)</f>
        <v>Springfield Processor</v>
      </c>
      <c r="L12" t="str">
        <f>VLOOKUP(D12,Sheet2!$A$2:$G$32,4,FALSE)</f>
        <v>Springfield</v>
      </c>
      <c r="M12" t="str">
        <f>VLOOKUP(D12,Sheet2!$A$2:$G$32,5,FALSE)</f>
        <v>IL</v>
      </c>
      <c r="N12">
        <f>VLOOKUP(D12,Sheet2!$A$2:$G$32,6,FALSE)</f>
        <v>39.841932999999997</v>
      </c>
      <c r="O12">
        <f>VLOOKUP(D12,Sheet2!$A$2:$G$32,7,FALSE)</f>
        <v>-89.642167000000001</v>
      </c>
    </row>
    <row r="13" spans="1:15" x14ac:dyDescent="0.35">
      <c r="A13" s="2" t="s">
        <v>5</v>
      </c>
      <c r="B13" s="2" t="s">
        <v>39</v>
      </c>
      <c r="C13" s="2" t="s">
        <v>6</v>
      </c>
      <c r="D13" s="2" t="s">
        <v>46</v>
      </c>
      <c r="E13" s="3">
        <v>7985.9632000000001</v>
      </c>
      <c r="F13" t="str">
        <f>VLOOKUP(B13,Sheet2!$A$2:$G$32,2,FALSE)</f>
        <v>Gateway Farms</v>
      </c>
      <c r="G13" t="str">
        <f>VLOOKUP(B13,Sheet2!$A$2:$G$32,4,FALSE)</f>
        <v>Near East St. Louis</v>
      </c>
      <c r="H13" t="str">
        <f>VLOOKUP(B13,Sheet2!$A$2:$G$32,5,FALSE)</f>
        <v>IL</v>
      </c>
      <c r="I13">
        <f>VLOOKUP(B13,Sheet2!$A$2:$G$32,6,FALSE)</f>
        <v>38.525469999999999</v>
      </c>
      <c r="J13">
        <f>VLOOKUP(B13,Sheet2!$A$2:$G$32,7,FALSE)</f>
        <v>-90.156570000000002</v>
      </c>
      <c r="K13" t="str">
        <f>VLOOKUP(D13,Sheet2!$A$2:$G$32,2,FALSE)</f>
        <v>St. Louis Processing Facility</v>
      </c>
      <c r="L13" t="str">
        <f>VLOOKUP(D13,Sheet2!$A$2:$G$32,4,FALSE)</f>
        <v>St. Louis</v>
      </c>
      <c r="M13" t="str">
        <f>VLOOKUP(D13,Sheet2!$A$2:$G$32,5,FALSE)</f>
        <v>MO</v>
      </c>
      <c r="N13">
        <f>VLOOKUP(D13,Sheet2!$A$2:$G$32,6,FALSE)</f>
        <v>38.540593000000001</v>
      </c>
      <c r="O13">
        <f>VLOOKUP(D13,Sheet2!$A$2:$G$32,7,FALSE)</f>
        <v>-90.460896000000005</v>
      </c>
    </row>
    <row r="14" spans="1:15" x14ac:dyDescent="0.35">
      <c r="A14" s="2" t="s">
        <v>5</v>
      </c>
      <c r="B14" s="2" t="s">
        <v>39</v>
      </c>
      <c r="C14" s="2" t="s">
        <v>6</v>
      </c>
      <c r="D14" s="2" t="s">
        <v>56</v>
      </c>
      <c r="E14" s="3">
        <v>4000</v>
      </c>
      <c r="F14" t="str">
        <f>VLOOKUP(B14,Sheet2!$A$2:$G$32,2,FALSE)</f>
        <v>Gateway Farms</v>
      </c>
      <c r="G14" t="str">
        <f>VLOOKUP(B14,Sheet2!$A$2:$G$32,4,FALSE)</f>
        <v>Near East St. Louis</v>
      </c>
      <c r="H14" t="str">
        <f>VLOOKUP(B14,Sheet2!$A$2:$G$32,5,FALSE)</f>
        <v>IL</v>
      </c>
      <c r="I14">
        <f>VLOOKUP(B14,Sheet2!$A$2:$G$32,6,FALSE)</f>
        <v>38.525469999999999</v>
      </c>
      <c r="J14">
        <f>VLOOKUP(B14,Sheet2!$A$2:$G$32,7,FALSE)</f>
        <v>-90.156570000000002</v>
      </c>
      <c r="K14" t="str">
        <f>VLOOKUP(D14,Sheet2!$A$2:$G$32,2,FALSE)</f>
        <v>Arthur Poultry Processing</v>
      </c>
      <c r="L14" t="str">
        <f>VLOOKUP(D14,Sheet2!$A$2:$G$32,4,FALSE)</f>
        <v>Peoria</v>
      </c>
      <c r="M14" t="str">
        <f>VLOOKUP(D14,Sheet2!$A$2:$G$32,5,FALSE)</f>
        <v>IL</v>
      </c>
      <c r="N14">
        <f>VLOOKUP(D14,Sheet2!$A$2:$G$32,6,FALSE)</f>
        <v>40.704707999999997</v>
      </c>
      <c r="O14">
        <f>VLOOKUP(D14,Sheet2!$A$2:$G$32,7,FALSE)</f>
        <v>-89.272330999999994</v>
      </c>
    </row>
    <row r="15" spans="1:15" x14ac:dyDescent="0.35">
      <c r="A15" s="2" t="s">
        <v>5</v>
      </c>
      <c r="B15" s="2" t="s">
        <v>42</v>
      </c>
      <c r="C15" s="2" t="s">
        <v>6</v>
      </c>
      <c r="D15" s="2" t="s">
        <v>67</v>
      </c>
      <c r="E15" s="3">
        <v>4000</v>
      </c>
      <c r="F15" t="str">
        <f>VLOOKUP(B15,Sheet2!$A$2:$G$32,2,FALSE)</f>
        <v>Springfield Processor</v>
      </c>
      <c r="G15" t="str">
        <f>VLOOKUP(B15,Sheet2!$A$2:$G$32,4,FALSE)</f>
        <v>Springfield</v>
      </c>
      <c r="H15" t="str">
        <f>VLOOKUP(B15,Sheet2!$A$2:$G$32,5,FALSE)</f>
        <v>IL</v>
      </c>
      <c r="I15">
        <f>VLOOKUP(B15,Sheet2!$A$2:$G$32,6,FALSE)</f>
        <v>39.841932999999997</v>
      </c>
      <c r="J15">
        <f>VLOOKUP(B15,Sheet2!$A$2:$G$32,7,FALSE)</f>
        <v>-89.642167000000001</v>
      </c>
      <c r="K15" t="str">
        <f>VLOOKUP(D15,Sheet2!$A$2:$G$32,2,FALSE)</f>
        <v>Kansas City Cold Storage Hub</v>
      </c>
      <c r="L15" t="str">
        <f>VLOOKUP(D15,Sheet2!$A$2:$G$32,4,FALSE)</f>
        <v>Kansas City</v>
      </c>
      <c r="M15" t="str">
        <f>VLOOKUP(D15,Sheet2!$A$2:$G$32,5,FALSE)</f>
        <v>MO</v>
      </c>
      <c r="N15">
        <f>VLOOKUP(D15,Sheet2!$A$2:$G$32,6,FALSE)</f>
        <v>38.854474000000003</v>
      </c>
      <c r="O15">
        <f>VLOOKUP(D15,Sheet2!$A$2:$G$32,7,FALSE)</f>
        <v>-94.537951000000007</v>
      </c>
    </row>
    <row r="16" spans="1:15" x14ac:dyDescent="0.35">
      <c r="A16" s="2" t="s">
        <v>5</v>
      </c>
      <c r="B16" s="2" t="s">
        <v>42</v>
      </c>
      <c r="C16" s="2" t="s">
        <v>6</v>
      </c>
      <c r="D16" s="2" t="s">
        <v>71</v>
      </c>
      <c r="E16" s="3">
        <v>4000</v>
      </c>
      <c r="F16" t="str">
        <f>VLOOKUP(B16,Sheet2!$A$2:$G$32,2,FALSE)</f>
        <v>Springfield Processor</v>
      </c>
      <c r="G16" t="str">
        <f>VLOOKUP(B16,Sheet2!$A$2:$G$32,4,FALSE)</f>
        <v>Springfield</v>
      </c>
      <c r="H16" t="str">
        <f>VLOOKUP(B16,Sheet2!$A$2:$G$32,5,FALSE)</f>
        <v>IL</v>
      </c>
      <c r="I16">
        <f>VLOOKUP(B16,Sheet2!$A$2:$G$32,6,FALSE)</f>
        <v>39.841932999999997</v>
      </c>
      <c r="J16">
        <f>VLOOKUP(B16,Sheet2!$A$2:$G$32,7,FALSE)</f>
        <v>-89.642167000000001</v>
      </c>
      <c r="K16" t="str">
        <f>VLOOKUP(D16,Sheet2!$A$2:$G$32,2,FALSE)</f>
        <v>Chicago Metro Cold Warehouse</v>
      </c>
      <c r="L16" t="str">
        <f>VLOOKUP(D16,Sheet2!$A$2:$G$32,4,FALSE)</f>
        <v>Hammond (Chicago Metro)</v>
      </c>
      <c r="M16" t="str">
        <f>VLOOKUP(D16,Sheet2!$A$2:$G$32,5,FALSE)</f>
        <v>IN</v>
      </c>
      <c r="N16">
        <f>VLOOKUP(D16,Sheet2!$A$2:$G$32,6,FALSE)</f>
        <v>41.637709000000001</v>
      </c>
      <c r="O16">
        <f>VLOOKUP(D16,Sheet2!$A$2:$G$32,7,FALSE)</f>
        <v>-87.499498000000003</v>
      </c>
    </row>
    <row r="17" spans="1:15" x14ac:dyDescent="0.35">
      <c r="A17" s="2" t="s">
        <v>5</v>
      </c>
      <c r="B17" s="2" t="s">
        <v>46</v>
      </c>
      <c r="C17" s="2" t="s">
        <v>6</v>
      </c>
      <c r="D17" s="2" t="s">
        <v>63</v>
      </c>
      <c r="E17" s="3">
        <v>16874.525000000001</v>
      </c>
      <c r="F17" t="str">
        <f>VLOOKUP(B17,Sheet2!$A$2:$G$32,2,FALSE)</f>
        <v>St. Louis Processing Facility</v>
      </c>
      <c r="G17" t="str">
        <f>VLOOKUP(B17,Sheet2!$A$2:$G$32,4,FALSE)</f>
        <v>St. Louis</v>
      </c>
      <c r="H17" t="str">
        <f>VLOOKUP(B17,Sheet2!$A$2:$G$32,5,FALSE)</f>
        <v>MO</v>
      </c>
      <c r="I17">
        <f>VLOOKUP(B17,Sheet2!$A$2:$G$32,6,FALSE)</f>
        <v>38.540593000000001</v>
      </c>
      <c r="J17">
        <f>VLOOKUP(B17,Sheet2!$A$2:$G$32,7,FALSE)</f>
        <v>-90.460896000000005</v>
      </c>
      <c r="K17" t="str">
        <f>VLOOKUP(D17,Sheet2!$A$2:$G$32,2,FALSE)</f>
        <v>St. Louis Regional Cold DC</v>
      </c>
      <c r="L17" t="str">
        <f>VLOOKUP(D17,Sheet2!$A$2:$G$32,4,FALSE)</f>
        <v>O'Fallon</v>
      </c>
      <c r="M17" t="str">
        <f>VLOOKUP(D17,Sheet2!$A$2:$G$32,5,FALSE)</f>
        <v>MO</v>
      </c>
      <c r="N17">
        <f>VLOOKUP(D17,Sheet2!$A$2:$G$32,6,FALSE)</f>
        <v>38.781930000000003</v>
      </c>
      <c r="O17">
        <f>VLOOKUP(D17,Sheet2!$A$2:$G$32,7,FALSE)</f>
        <v>-90.528041000000002</v>
      </c>
    </row>
    <row r="18" spans="1:15" x14ac:dyDescent="0.35">
      <c r="A18" s="2" t="s">
        <v>5</v>
      </c>
      <c r="B18" s="2" t="s">
        <v>46</v>
      </c>
      <c r="C18" s="2" t="s">
        <v>6</v>
      </c>
      <c r="D18" s="2" t="s">
        <v>67</v>
      </c>
      <c r="E18" s="3">
        <v>2181.8182000000002</v>
      </c>
      <c r="F18" t="str">
        <f>VLOOKUP(B18,Sheet2!$A$2:$G$32,2,FALSE)</f>
        <v>St. Louis Processing Facility</v>
      </c>
      <c r="G18" t="str">
        <f>VLOOKUP(B18,Sheet2!$A$2:$G$32,4,FALSE)</f>
        <v>St. Louis</v>
      </c>
      <c r="H18" t="str">
        <f>VLOOKUP(B18,Sheet2!$A$2:$G$32,5,FALSE)</f>
        <v>MO</v>
      </c>
      <c r="I18">
        <f>VLOOKUP(B18,Sheet2!$A$2:$G$32,6,FALSE)</f>
        <v>38.540593000000001</v>
      </c>
      <c r="J18">
        <f>VLOOKUP(B18,Sheet2!$A$2:$G$32,7,FALSE)</f>
        <v>-90.460896000000005</v>
      </c>
      <c r="K18" t="str">
        <f>VLOOKUP(D18,Sheet2!$A$2:$G$32,2,FALSE)</f>
        <v>Kansas City Cold Storage Hub</v>
      </c>
      <c r="L18" t="str">
        <f>VLOOKUP(D18,Sheet2!$A$2:$G$32,4,FALSE)</f>
        <v>Kansas City</v>
      </c>
      <c r="M18" t="str">
        <f>VLOOKUP(D18,Sheet2!$A$2:$G$32,5,FALSE)</f>
        <v>MO</v>
      </c>
      <c r="N18">
        <f>VLOOKUP(D18,Sheet2!$A$2:$G$32,6,FALSE)</f>
        <v>38.854474000000003</v>
      </c>
      <c r="O18">
        <f>VLOOKUP(D18,Sheet2!$A$2:$G$32,7,FALSE)</f>
        <v>-94.537951000000007</v>
      </c>
    </row>
    <row r="19" spans="1:15" x14ac:dyDescent="0.35">
      <c r="A19" s="2" t="s">
        <v>5</v>
      </c>
      <c r="B19" s="2" t="s">
        <v>53</v>
      </c>
      <c r="C19" s="2" t="s">
        <v>6</v>
      </c>
      <c r="D19" s="2" t="s">
        <v>67</v>
      </c>
      <c r="E19" s="3">
        <v>4000</v>
      </c>
      <c r="F19" t="str">
        <f>VLOOKUP(B19,Sheet2!$A$2:$G$32,2,FALSE)</f>
        <v>Monett Poultry Processor</v>
      </c>
      <c r="G19" t="str">
        <f>VLOOKUP(B19,Sheet2!$A$2:$G$32,4,FALSE)</f>
        <v>Monett</v>
      </c>
      <c r="H19" t="str">
        <f>VLOOKUP(B19,Sheet2!$A$2:$G$32,5,FALSE)</f>
        <v>MO</v>
      </c>
      <c r="I19">
        <f>VLOOKUP(B19,Sheet2!$A$2:$G$32,6,FALSE)</f>
        <v>36.917831999999997</v>
      </c>
      <c r="J19">
        <f>VLOOKUP(B19,Sheet2!$A$2:$G$32,7,FALSE)</f>
        <v>-93.914219000000003</v>
      </c>
      <c r="K19" t="str">
        <f>VLOOKUP(D19,Sheet2!$A$2:$G$32,2,FALSE)</f>
        <v>Kansas City Cold Storage Hub</v>
      </c>
      <c r="L19" t="str">
        <f>VLOOKUP(D19,Sheet2!$A$2:$G$32,4,FALSE)</f>
        <v>Kansas City</v>
      </c>
      <c r="M19" t="str">
        <f>VLOOKUP(D19,Sheet2!$A$2:$G$32,5,FALSE)</f>
        <v>MO</v>
      </c>
      <c r="N19">
        <f>VLOOKUP(D19,Sheet2!$A$2:$G$32,6,FALSE)</f>
        <v>38.854474000000003</v>
      </c>
      <c r="O19">
        <f>VLOOKUP(D19,Sheet2!$A$2:$G$32,7,FALSE)</f>
        <v>-94.537951000000007</v>
      </c>
    </row>
    <row r="20" spans="1:15" x14ac:dyDescent="0.35">
      <c r="A20" s="2" t="s">
        <v>5</v>
      </c>
      <c r="B20" s="2" t="s">
        <v>53</v>
      </c>
      <c r="C20" s="2" t="s">
        <v>6</v>
      </c>
      <c r="D20" s="2" t="s">
        <v>71</v>
      </c>
      <c r="E20" s="3">
        <v>4000</v>
      </c>
      <c r="F20" t="str">
        <f>VLOOKUP(B20,Sheet2!$A$2:$G$32,2,FALSE)</f>
        <v>Monett Poultry Processor</v>
      </c>
      <c r="G20" t="str">
        <f>VLOOKUP(B20,Sheet2!$A$2:$G$32,4,FALSE)</f>
        <v>Monett</v>
      </c>
      <c r="H20" t="str">
        <f>VLOOKUP(B20,Sheet2!$A$2:$G$32,5,FALSE)</f>
        <v>MO</v>
      </c>
      <c r="I20">
        <f>VLOOKUP(B20,Sheet2!$A$2:$G$32,6,FALSE)</f>
        <v>36.917831999999997</v>
      </c>
      <c r="J20">
        <f>VLOOKUP(B20,Sheet2!$A$2:$G$32,7,FALSE)</f>
        <v>-93.914219000000003</v>
      </c>
      <c r="K20" t="str">
        <f>VLOOKUP(D20,Sheet2!$A$2:$G$32,2,FALSE)</f>
        <v>Chicago Metro Cold Warehouse</v>
      </c>
      <c r="L20" t="str">
        <f>VLOOKUP(D20,Sheet2!$A$2:$G$32,4,FALSE)</f>
        <v>Hammond (Chicago Metro)</v>
      </c>
      <c r="M20" t="str">
        <f>VLOOKUP(D20,Sheet2!$A$2:$G$32,5,FALSE)</f>
        <v>IN</v>
      </c>
      <c r="N20">
        <f>VLOOKUP(D20,Sheet2!$A$2:$G$32,6,FALSE)</f>
        <v>41.637709000000001</v>
      </c>
      <c r="O20">
        <f>VLOOKUP(D20,Sheet2!$A$2:$G$32,7,FALSE)</f>
        <v>-87.499498000000003</v>
      </c>
    </row>
    <row r="21" spans="1:15" x14ac:dyDescent="0.35">
      <c r="A21" s="2" t="s">
        <v>5</v>
      </c>
      <c r="B21" s="2" t="s">
        <v>56</v>
      </c>
      <c r="C21" s="2" t="s">
        <v>6</v>
      </c>
      <c r="D21" s="2" t="s">
        <v>67</v>
      </c>
      <c r="E21" s="3">
        <v>4000</v>
      </c>
      <c r="F21" t="str">
        <f>VLOOKUP(B21,Sheet2!$A$2:$G$32,2,FALSE)</f>
        <v>Arthur Poultry Processing</v>
      </c>
      <c r="G21" t="str">
        <f>VLOOKUP(B21,Sheet2!$A$2:$G$32,4,FALSE)</f>
        <v>Peoria</v>
      </c>
      <c r="H21" t="str">
        <f>VLOOKUP(B21,Sheet2!$A$2:$G$32,5,FALSE)</f>
        <v>IL</v>
      </c>
      <c r="I21">
        <f>VLOOKUP(B21,Sheet2!$A$2:$G$32,6,FALSE)</f>
        <v>40.704707999999997</v>
      </c>
      <c r="J21">
        <f>VLOOKUP(B21,Sheet2!$A$2:$G$32,7,FALSE)</f>
        <v>-89.272330999999994</v>
      </c>
      <c r="K21" t="str">
        <f>VLOOKUP(D21,Sheet2!$A$2:$G$32,2,FALSE)</f>
        <v>Kansas City Cold Storage Hub</v>
      </c>
      <c r="L21" t="str">
        <f>VLOOKUP(D21,Sheet2!$A$2:$G$32,4,FALSE)</f>
        <v>Kansas City</v>
      </c>
      <c r="M21" t="str">
        <f>VLOOKUP(D21,Sheet2!$A$2:$G$32,5,FALSE)</f>
        <v>MO</v>
      </c>
      <c r="N21">
        <f>VLOOKUP(D21,Sheet2!$A$2:$G$32,6,FALSE)</f>
        <v>38.854474000000003</v>
      </c>
      <c r="O21">
        <f>VLOOKUP(D21,Sheet2!$A$2:$G$32,7,FALSE)</f>
        <v>-94.537951000000007</v>
      </c>
    </row>
    <row r="22" spans="1:15" x14ac:dyDescent="0.35">
      <c r="A22" s="2" t="s">
        <v>5</v>
      </c>
      <c r="B22" s="2" t="s">
        <v>56</v>
      </c>
      <c r="C22" s="2" t="s">
        <v>6</v>
      </c>
      <c r="D22" s="2" t="s">
        <v>71</v>
      </c>
      <c r="E22" s="3">
        <v>38687.429100000001</v>
      </c>
      <c r="F22" t="str">
        <f>VLOOKUP(B22,Sheet2!$A$2:$G$32,2,FALSE)</f>
        <v>Arthur Poultry Processing</v>
      </c>
      <c r="G22" t="str">
        <f>VLOOKUP(B22,Sheet2!$A$2:$G$32,4,FALSE)</f>
        <v>Peoria</v>
      </c>
      <c r="H22" t="str">
        <f>VLOOKUP(B22,Sheet2!$A$2:$G$32,5,FALSE)</f>
        <v>IL</v>
      </c>
      <c r="I22">
        <f>VLOOKUP(B22,Sheet2!$A$2:$G$32,6,FALSE)</f>
        <v>40.704707999999997</v>
      </c>
      <c r="J22">
        <f>VLOOKUP(B22,Sheet2!$A$2:$G$32,7,FALSE)</f>
        <v>-89.272330999999994</v>
      </c>
      <c r="K22" t="str">
        <f>VLOOKUP(D22,Sheet2!$A$2:$G$32,2,FALSE)</f>
        <v>Chicago Metro Cold Warehouse</v>
      </c>
      <c r="L22" t="str">
        <f>VLOOKUP(D22,Sheet2!$A$2:$G$32,4,FALSE)</f>
        <v>Hammond (Chicago Metro)</v>
      </c>
      <c r="M22" t="str">
        <f>VLOOKUP(D22,Sheet2!$A$2:$G$32,5,FALSE)</f>
        <v>IN</v>
      </c>
      <c r="N22">
        <f>VLOOKUP(D22,Sheet2!$A$2:$G$32,6,FALSE)</f>
        <v>41.637709000000001</v>
      </c>
      <c r="O22">
        <f>VLOOKUP(D22,Sheet2!$A$2:$G$32,7,FALSE)</f>
        <v>-87.499498000000003</v>
      </c>
    </row>
    <row r="23" spans="1:15" x14ac:dyDescent="0.35">
      <c r="A23" s="2" t="s">
        <v>5</v>
      </c>
      <c r="B23" s="2" t="s">
        <v>59</v>
      </c>
      <c r="C23" s="2" t="s">
        <v>6</v>
      </c>
      <c r="D23" s="2" t="s">
        <v>67</v>
      </c>
      <c r="E23" s="3">
        <v>4000</v>
      </c>
      <c r="F23" t="str">
        <f>VLOOKUP(B23,Sheet2!$A$2:$G$32,2,FALSE)</f>
        <v>Fort Smith Regional Processor</v>
      </c>
      <c r="G23" t="str">
        <f>VLOOKUP(B23,Sheet2!$A$2:$G$32,4,FALSE)</f>
        <v>Fort Smith</v>
      </c>
      <c r="H23" t="str">
        <f>VLOOKUP(B23,Sheet2!$A$2:$G$32,5,FALSE)</f>
        <v>AR</v>
      </c>
      <c r="I23">
        <f>VLOOKUP(B23,Sheet2!$A$2:$G$32,6,FALSE)</f>
        <v>35.496490999999999</v>
      </c>
      <c r="J23">
        <f>VLOOKUP(B23,Sheet2!$A$2:$G$32,7,FALSE)</f>
        <v>-94.299086000000003</v>
      </c>
      <c r="K23" t="str">
        <f>VLOOKUP(D23,Sheet2!$A$2:$G$32,2,FALSE)</f>
        <v>Kansas City Cold Storage Hub</v>
      </c>
      <c r="L23" t="str">
        <f>VLOOKUP(D23,Sheet2!$A$2:$G$32,4,FALSE)</f>
        <v>Kansas City</v>
      </c>
      <c r="M23" t="str">
        <f>VLOOKUP(D23,Sheet2!$A$2:$G$32,5,FALSE)</f>
        <v>MO</v>
      </c>
      <c r="N23">
        <f>VLOOKUP(D23,Sheet2!$A$2:$G$32,6,FALSE)</f>
        <v>38.854474000000003</v>
      </c>
      <c r="O23">
        <f>VLOOKUP(D23,Sheet2!$A$2:$G$32,7,FALSE)</f>
        <v>-94.537951000000007</v>
      </c>
    </row>
    <row r="24" spans="1:15" x14ac:dyDescent="0.35">
      <c r="A24" s="2" t="s">
        <v>5</v>
      </c>
      <c r="B24" s="2" t="s">
        <v>63</v>
      </c>
      <c r="C24" s="2" t="s">
        <v>6</v>
      </c>
      <c r="D24" s="2" t="s">
        <v>106</v>
      </c>
      <c r="E24" s="3">
        <v>3712.3955000000001</v>
      </c>
      <c r="F24" t="str">
        <f>VLOOKUP(B24,Sheet2!$A$2:$G$32,2,FALSE)</f>
        <v>St. Louis Regional Cold DC</v>
      </c>
      <c r="G24" t="str">
        <f>VLOOKUP(B24,Sheet2!$A$2:$G$32,4,FALSE)</f>
        <v>O'Fallon</v>
      </c>
      <c r="H24" t="str">
        <f>VLOOKUP(B24,Sheet2!$A$2:$G$32,5,FALSE)</f>
        <v>MO</v>
      </c>
      <c r="I24">
        <f>VLOOKUP(B24,Sheet2!$A$2:$G$32,6,FALSE)</f>
        <v>38.781930000000003</v>
      </c>
      <c r="J24">
        <f>VLOOKUP(B24,Sheet2!$A$2:$G$32,7,FALSE)</f>
        <v>-90.528041000000002</v>
      </c>
      <c r="K24" t="str">
        <f>VLOOKUP(D24,Sheet2!$A$2:$G$32,2,FALSE)</f>
        <v>Harvesters Community Food Network</v>
      </c>
      <c r="L24" t="str">
        <f>VLOOKUP(D24,Sheet2!$A$2:$G$32,4,FALSE)</f>
        <v>Kansas City</v>
      </c>
      <c r="M24" t="str">
        <f>VLOOKUP(D24,Sheet2!$A$2:$G$32,5,FALSE)</f>
        <v>MO</v>
      </c>
      <c r="N24">
        <f>VLOOKUP(D24,Sheet2!$A$2:$G$32,6,FALSE)</f>
        <v>39.055128000000003</v>
      </c>
      <c r="O24">
        <f>VLOOKUP(D24,Sheet2!$A$2:$G$32,7,FALSE)</f>
        <v>-94.516656999999995</v>
      </c>
    </row>
    <row r="25" spans="1:15" x14ac:dyDescent="0.35">
      <c r="A25" s="2" t="s">
        <v>5</v>
      </c>
      <c r="B25" s="2" t="s">
        <v>67</v>
      </c>
      <c r="C25" s="2" t="s">
        <v>6</v>
      </c>
      <c r="D25" s="2" t="s">
        <v>106</v>
      </c>
      <c r="E25" s="3">
        <v>4000</v>
      </c>
      <c r="F25" t="str">
        <f>VLOOKUP(B25,Sheet2!$A$2:$G$32,2,FALSE)</f>
        <v>Kansas City Cold Storage Hub</v>
      </c>
      <c r="G25" t="str">
        <f>VLOOKUP(B25,Sheet2!$A$2:$G$32,4,FALSE)</f>
        <v>Kansas City</v>
      </c>
      <c r="H25" t="str">
        <f>VLOOKUP(B25,Sheet2!$A$2:$G$32,5,FALSE)</f>
        <v>MO</v>
      </c>
      <c r="I25">
        <f>VLOOKUP(B25,Sheet2!$A$2:$G$32,6,FALSE)</f>
        <v>38.854474000000003</v>
      </c>
      <c r="J25">
        <f>VLOOKUP(B25,Sheet2!$A$2:$G$32,7,FALSE)</f>
        <v>-94.537951000000007</v>
      </c>
      <c r="K25" t="str">
        <f>VLOOKUP(D25,Sheet2!$A$2:$G$32,2,FALSE)</f>
        <v>Harvesters Community Food Network</v>
      </c>
      <c r="L25" t="str">
        <f>VLOOKUP(D25,Sheet2!$A$2:$G$32,4,FALSE)</f>
        <v>Kansas City</v>
      </c>
      <c r="M25" t="str">
        <f>VLOOKUP(D25,Sheet2!$A$2:$G$32,5,FALSE)</f>
        <v>MO</v>
      </c>
      <c r="N25">
        <f>VLOOKUP(D25,Sheet2!$A$2:$G$32,6,FALSE)</f>
        <v>39.055128000000003</v>
      </c>
      <c r="O25">
        <f>VLOOKUP(D25,Sheet2!$A$2:$G$32,7,FALSE)</f>
        <v>-94.516656999999995</v>
      </c>
    </row>
    <row r="26" spans="1:15" x14ac:dyDescent="0.35">
      <c r="A26" s="2" t="s">
        <v>5</v>
      </c>
      <c r="B26" s="2" t="s">
        <v>71</v>
      </c>
      <c r="C26" s="2" t="s">
        <v>6</v>
      </c>
      <c r="D26" s="2" t="s">
        <v>111</v>
      </c>
      <c r="E26" s="3">
        <v>9071.7690000000002</v>
      </c>
      <c r="F26" t="str">
        <f>VLOOKUP(B26,Sheet2!$A$2:$G$32,2,FALSE)</f>
        <v>Chicago Metro Cold Warehouse</v>
      </c>
      <c r="G26" t="str">
        <f>VLOOKUP(B26,Sheet2!$A$2:$G$32,4,FALSE)</f>
        <v>Hammond (Chicago Metro)</v>
      </c>
      <c r="H26" t="str">
        <f>VLOOKUP(B26,Sheet2!$A$2:$G$32,5,FALSE)</f>
        <v>IN</v>
      </c>
      <c r="I26">
        <f>VLOOKUP(B26,Sheet2!$A$2:$G$32,6,FALSE)</f>
        <v>41.637709000000001</v>
      </c>
      <c r="J26">
        <f>VLOOKUP(B26,Sheet2!$A$2:$G$32,7,FALSE)</f>
        <v>-87.499498000000003</v>
      </c>
      <c r="K26" t="str">
        <f>VLOOKUP(D26,Sheet2!$A$2:$G$32,2,FALSE)</f>
        <v>St. Louis Metro Market</v>
      </c>
      <c r="L26" t="str">
        <f>VLOOKUP(D26,Sheet2!$A$2:$G$32,4,FALSE)</f>
        <v>St. Louis Metro</v>
      </c>
      <c r="M26" t="str">
        <f>VLOOKUP(D26,Sheet2!$A$2:$G$32,5,FALSE)</f>
        <v>MO–IL</v>
      </c>
      <c r="N26">
        <f>VLOOKUP(D26,Sheet2!$A$2:$G$32,6,FALSE)</f>
        <v>38.627732999999999</v>
      </c>
      <c r="O26">
        <f>VLOOKUP(D26,Sheet2!$A$2:$G$32,7,FALSE)</f>
        <v>-90.239333999999999</v>
      </c>
    </row>
    <row r="27" spans="1:15" x14ac:dyDescent="0.35">
      <c r="A27" s="2" t="s">
        <v>5</v>
      </c>
      <c r="B27" s="2" t="s">
        <v>71</v>
      </c>
      <c r="C27" s="2" t="s">
        <v>6</v>
      </c>
      <c r="D27" s="2" t="s">
        <v>112</v>
      </c>
      <c r="E27" s="3">
        <v>1199.4654</v>
      </c>
      <c r="F27" t="str">
        <f>VLOOKUP(B27,Sheet2!$A$2:$G$32,2,FALSE)</f>
        <v>Chicago Metro Cold Warehouse</v>
      </c>
      <c r="G27" t="str">
        <f>VLOOKUP(B27,Sheet2!$A$2:$G$32,4,FALSE)</f>
        <v>Hammond (Chicago Metro)</v>
      </c>
      <c r="H27" t="str">
        <f>VLOOKUP(B27,Sheet2!$A$2:$G$32,5,FALSE)</f>
        <v>IN</v>
      </c>
      <c r="I27">
        <f>VLOOKUP(B27,Sheet2!$A$2:$G$32,6,FALSE)</f>
        <v>41.637709000000001</v>
      </c>
      <c r="J27">
        <f>VLOOKUP(B27,Sheet2!$A$2:$G$32,7,FALSE)</f>
        <v>-87.499498000000003</v>
      </c>
      <c r="K27" t="str">
        <f>VLOOKUP(D27,Sheet2!$A$2:$G$32,2,FALSE)</f>
        <v>Chicago Metro Cold Warehouse</v>
      </c>
      <c r="L27" t="str">
        <f>VLOOKUP(D27,Sheet2!$A$2:$G$32,4,FALSE)</f>
        <v>Hammond (Chicago Metro)</v>
      </c>
      <c r="M27" t="str">
        <f>VLOOKUP(D27,Sheet2!$A$2:$G$32,5,FALSE)</f>
        <v>IN</v>
      </c>
      <c r="N27">
        <f>VLOOKUP(D27,Sheet2!$A$2:$G$32,6,FALSE)</f>
        <v>41.637709000000001</v>
      </c>
      <c r="O27">
        <f>VLOOKUP(D27,Sheet2!$A$2:$G$32,7,FALSE)</f>
        <v>-87.499498000000003</v>
      </c>
    </row>
    <row r="28" spans="1:15" x14ac:dyDescent="0.35">
      <c r="A28" s="2" t="s">
        <v>5</v>
      </c>
      <c r="B28" s="2" t="s">
        <v>106</v>
      </c>
      <c r="C28" s="2" t="s">
        <v>6</v>
      </c>
      <c r="D28" s="2" t="s">
        <v>75</v>
      </c>
      <c r="E28" s="3">
        <v>4322.4674999999997</v>
      </c>
      <c r="F28" t="str">
        <f>VLOOKUP(B28,Sheet2!$A$2:$G$32,2,FALSE)</f>
        <v>Harvesters Community Food Network</v>
      </c>
      <c r="G28" t="str">
        <f>VLOOKUP(B28,Sheet2!$A$2:$G$32,4,FALSE)</f>
        <v>Kansas City</v>
      </c>
      <c r="H28" t="str">
        <f>VLOOKUP(B28,Sheet2!$A$2:$G$32,5,FALSE)</f>
        <v>MO</v>
      </c>
      <c r="I28">
        <f>VLOOKUP(B28,Sheet2!$A$2:$G$32,6,FALSE)</f>
        <v>39.055128000000003</v>
      </c>
      <c r="J28">
        <f>VLOOKUP(B28,Sheet2!$A$2:$G$32,7,FALSE)</f>
        <v>-94.516656999999995</v>
      </c>
      <c r="K28" t="str">
        <f>VLOOKUP(D28,Sheet2!$A$2:$G$32,2,FALSE)</f>
        <v>St. Louis Metro Market</v>
      </c>
      <c r="L28" t="str">
        <f>VLOOKUP(D28,Sheet2!$A$2:$G$32,4,FALSE)</f>
        <v>St. Louis Metro</v>
      </c>
      <c r="M28" t="str">
        <f>VLOOKUP(D28,Sheet2!$A$2:$G$32,5,FALSE)</f>
        <v>MO–IL</v>
      </c>
      <c r="N28">
        <f>VLOOKUP(D28,Sheet2!$A$2:$G$32,6,FALSE)</f>
        <v>38.627732999999999</v>
      </c>
      <c r="O28">
        <f>VLOOKUP(D28,Sheet2!$A$2:$G$32,7,FALSE)</f>
        <v>-90.239333999999999</v>
      </c>
    </row>
    <row r="29" spans="1:15" x14ac:dyDescent="0.35">
      <c r="A29" s="2" t="s">
        <v>5</v>
      </c>
      <c r="B29" s="2" t="s">
        <v>106</v>
      </c>
      <c r="C29" s="2" t="s">
        <v>6</v>
      </c>
      <c r="D29" s="2" t="s">
        <v>80</v>
      </c>
      <c r="E29" s="3">
        <v>3389.9279999999999</v>
      </c>
      <c r="F29" t="str">
        <f>VLOOKUP(B29,Sheet2!$A$2:$G$32,2,FALSE)</f>
        <v>Harvesters Community Food Network</v>
      </c>
      <c r="G29" t="str">
        <f>VLOOKUP(B29,Sheet2!$A$2:$G$32,4,FALSE)</f>
        <v>Kansas City</v>
      </c>
      <c r="H29" t="str">
        <f>VLOOKUP(B29,Sheet2!$A$2:$G$32,5,FALSE)</f>
        <v>MO</v>
      </c>
      <c r="I29">
        <f>VLOOKUP(B29,Sheet2!$A$2:$G$32,6,FALSE)</f>
        <v>39.055128000000003</v>
      </c>
      <c r="J29">
        <f>VLOOKUP(B29,Sheet2!$A$2:$G$32,7,FALSE)</f>
        <v>-94.516656999999995</v>
      </c>
      <c r="K29" t="str">
        <f>VLOOKUP(D29,Sheet2!$A$2:$G$32,2,FALSE)</f>
        <v>Kansas City Metro Market</v>
      </c>
      <c r="L29" t="str">
        <f>VLOOKUP(D29,Sheet2!$A$2:$G$32,4,FALSE)</f>
        <v>Kansas City Metro</v>
      </c>
      <c r="M29" t="str">
        <f>VLOOKUP(D29,Sheet2!$A$2:$G$32,5,FALSE)</f>
        <v>MO–KS</v>
      </c>
      <c r="N29">
        <f>VLOOKUP(D29,Sheet2!$A$2:$G$32,6,FALSE)</f>
        <v>39.015926999999998</v>
      </c>
      <c r="O29">
        <f>VLOOKUP(D29,Sheet2!$A$2:$G$32,7,FALSE)</f>
        <v>-94.422894999999997</v>
      </c>
    </row>
    <row r="30" spans="1:15" x14ac:dyDescent="0.35">
      <c r="A30" s="2" t="s">
        <v>5</v>
      </c>
      <c r="B30" s="2" t="s">
        <v>111</v>
      </c>
      <c r="C30" s="2" t="s">
        <v>6</v>
      </c>
      <c r="D30" s="2" t="s">
        <v>84</v>
      </c>
      <c r="E30" s="2">
        <v>320.12549999999999</v>
      </c>
      <c r="F30" t="str">
        <f>VLOOKUP(B30,Sheet2!$A$2:$G$32,2,FALSE)</f>
        <v>St. Louis Metro Market</v>
      </c>
      <c r="G30" t="str">
        <f>VLOOKUP(B30,Sheet2!$A$2:$G$32,4,FALSE)</f>
        <v>St. Louis Metro</v>
      </c>
      <c r="H30" t="str">
        <f>VLOOKUP(B30,Sheet2!$A$2:$G$32,5,FALSE)</f>
        <v>MO–IL</v>
      </c>
      <c r="I30">
        <f>VLOOKUP(B30,Sheet2!$A$2:$G$32,6,FALSE)</f>
        <v>38.627732999999999</v>
      </c>
      <c r="J30">
        <f>VLOOKUP(B30,Sheet2!$A$2:$G$32,7,FALSE)</f>
        <v>-90.239333999999999</v>
      </c>
      <c r="K30" t="str">
        <f>VLOOKUP(D30,Sheet2!$A$2:$G$32,2,FALSE)</f>
        <v>Springfield Consumer Market</v>
      </c>
      <c r="L30" t="str">
        <f>VLOOKUP(D30,Sheet2!$A$2:$G$32,4,FALSE)</f>
        <v>Springfield</v>
      </c>
      <c r="M30" t="str">
        <f>VLOOKUP(D30,Sheet2!$A$2:$G$32,5,FALSE)</f>
        <v>MO</v>
      </c>
      <c r="N30">
        <f>VLOOKUP(D30,Sheet2!$A$2:$G$32,6,FALSE)</f>
        <v>37.161437999999997</v>
      </c>
      <c r="O30">
        <f>VLOOKUP(D30,Sheet2!$A$2:$G$32,7,FALSE)</f>
        <v>-93.283608000000001</v>
      </c>
    </row>
    <row r="31" spans="1:15" x14ac:dyDescent="0.35">
      <c r="A31" s="2" t="s">
        <v>5</v>
      </c>
      <c r="B31" s="2" t="s">
        <v>111</v>
      </c>
      <c r="C31" s="2" t="s">
        <v>6</v>
      </c>
      <c r="D31" s="2" t="s">
        <v>86</v>
      </c>
      <c r="E31" s="3">
        <v>7437.1184999999996</v>
      </c>
      <c r="F31" t="str">
        <f>VLOOKUP(B31,Sheet2!$A$2:$G$32,2,FALSE)</f>
        <v>St. Louis Metro Market</v>
      </c>
      <c r="G31" t="str">
        <f>VLOOKUP(B31,Sheet2!$A$2:$G$32,4,FALSE)</f>
        <v>St. Louis Metro</v>
      </c>
      <c r="H31" t="str">
        <f>VLOOKUP(B31,Sheet2!$A$2:$G$32,5,FALSE)</f>
        <v>MO–IL</v>
      </c>
      <c r="I31">
        <f>VLOOKUP(B31,Sheet2!$A$2:$G$32,6,FALSE)</f>
        <v>38.627732999999999</v>
      </c>
      <c r="J31">
        <f>VLOOKUP(B31,Sheet2!$A$2:$G$32,7,FALSE)</f>
        <v>-90.239333999999999</v>
      </c>
      <c r="K31" t="str">
        <f>VLOOKUP(D31,Sheet2!$A$2:$G$32,2,FALSE)</f>
        <v>Chicago Metro Market</v>
      </c>
      <c r="L31" t="str">
        <f>VLOOKUP(D31,Sheet2!$A$2:$G$32,4,FALSE)</f>
        <v>Chicago</v>
      </c>
      <c r="M31" t="str">
        <f>VLOOKUP(D31,Sheet2!$A$2:$G$32,5,FALSE)</f>
        <v>IL</v>
      </c>
      <c r="N31">
        <f>VLOOKUP(D31,Sheet2!$A$2:$G$32,6,FALSE)</f>
        <v>41.877749999999999</v>
      </c>
      <c r="O31">
        <f>VLOOKUP(D31,Sheet2!$A$2:$G$32,7,FALSE)</f>
        <v>-87.867125999999999</v>
      </c>
    </row>
    <row r="32" spans="1:15" x14ac:dyDescent="0.35">
      <c r="A32" s="2" t="s">
        <v>5</v>
      </c>
      <c r="B32" s="2" t="s">
        <v>111</v>
      </c>
      <c r="C32" s="2" t="s">
        <v>6</v>
      </c>
      <c r="D32" s="2" t="s">
        <v>89</v>
      </c>
      <c r="E32" s="3">
        <v>1314.5250000000001</v>
      </c>
      <c r="F32" t="str">
        <f>VLOOKUP(B32,Sheet2!$A$2:$G$32,2,FALSE)</f>
        <v>St. Louis Metro Market</v>
      </c>
      <c r="G32" t="str">
        <f>VLOOKUP(B32,Sheet2!$A$2:$G$32,4,FALSE)</f>
        <v>St. Louis Metro</v>
      </c>
      <c r="H32" t="str">
        <f>VLOOKUP(B32,Sheet2!$A$2:$G$32,5,FALSE)</f>
        <v>MO–IL</v>
      </c>
      <c r="I32">
        <f>VLOOKUP(B32,Sheet2!$A$2:$G$32,6,FALSE)</f>
        <v>38.627732999999999</v>
      </c>
      <c r="J32">
        <f>VLOOKUP(B32,Sheet2!$A$2:$G$32,7,FALSE)</f>
        <v>-90.239333999999999</v>
      </c>
      <c r="K32" t="str">
        <f>VLOOKUP(D32,Sheet2!$A$2:$G$32,2,FALSE)</f>
        <v>Bloomington Consumer Market</v>
      </c>
      <c r="L32" t="str">
        <f>VLOOKUP(D32,Sheet2!$A$2:$G$32,4,FALSE)</f>
        <v>Bloomington–Normal</v>
      </c>
      <c r="M32" t="str">
        <f>VLOOKUP(D32,Sheet2!$A$2:$G$32,5,FALSE)</f>
        <v>IL</v>
      </c>
      <c r="N32">
        <f>VLOOKUP(D32,Sheet2!$A$2:$G$32,6,FALSE)</f>
        <v>40.503591999999998</v>
      </c>
      <c r="O32">
        <f>VLOOKUP(D32,Sheet2!$A$2:$G$32,7,FALSE)</f>
        <v>-88.962800999999999</v>
      </c>
    </row>
    <row r="33" spans="1:15" x14ac:dyDescent="0.35">
      <c r="A33" s="2" t="s">
        <v>5</v>
      </c>
      <c r="B33" s="2" t="s">
        <v>112</v>
      </c>
      <c r="C33" s="2" t="s">
        <v>6</v>
      </c>
      <c r="D33" s="2" t="s">
        <v>92</v>
      </c>
      <c r="E33" s="3">
        <v>1001.5134</v>
      </c>
      <c r="F33" t="str">
        <f>VLOOKUP(B33,Sheet2!$A$2:$G$32,2,FALSE)</f>
        <v>Chicago Metro Cold Warehouse</v>
      </c>
      <c r="G33" t="str">
        <f>VLOOKUP(B33,Sheet2!$A$2:$G$32,4,FALSE)</f>
        <v>Hammond (Chicago Metro)</v>
      </c>
      <c r="H33" t="str">
        <f>VLOOKUP(B33,Sheet2!$A$2:$G$32,5,FALSE)</f>
        <v>IN</v>
      </c>
      <c r="I33">
        <f>VLOOKUP(B33,Sheet2!$A$2:$G$32,6,FALSE)</f>
        <v>41.637709000000001</v>
      </c>
      <c r="J33">
        <f>VLOOKUP(B33,Sheet2!$A$2:$G$32,7,FALSE)</f>
        <v>-87.499498000000003</v>
      </c>
      <c r="K33" t="str">
        <f>VLOOKUP(D33,Sheet2!$A$2:$G$32,2,FALSE)</f>
        <v>Wichita Consumer Market</v>
      </c>
      <c r="L33" t="str">
        <f>VLOOKUP(D33,Sheet2!$A$2:$G$32,4,FALSE)</f>
        <v>Wichita</v>
      </c>
      <c r="M33" t="str">
        <f>VLOOKUP(D33,Sheet2!$A$2:$G$32,5,FALSE)</f>
        <v>KS</v>
      </c>
      <c r="N33">
        <f>VLOOKUP(D33,Sheet2!$A$2:$G$32,6,FALSE)</f>
        <v>37.682581999999996</v>
      </c>
      <c r="O33">
        <f>VLOOKUP(D33,Sheet2!$A$2:$G$32,7,FALSE)</f>
        <v>-97.378635000000003</v>
      </c>
    </row>
    <row r="34" spans="1:15" x14ac:dyDescent="0.35">
      <c r="A34" s="2" t="s">
        <v>5</v>
      </c>
      <c r="B34" s="2" t="s">
        <v>112</v>
      </c>
      <c r="C34" s="2" t="s">
        <v>6</v>
      </c>
      <c r="D34" s="2" t="s">
        <v>95</v>
      </c>
      <c r="E34" s="2">
        <v>197.952</v>
      </c>
      <c r="F34" t="str">
        <f>VLOOKUP(B34,Sheet2!$A$2:$G$32,2,FALSE)</f>
        <v>Chicago Metro Cold Warehouse</v>
      </c>
      <c r="G34" t="str">
        <f>VLOOKUP(B34,Sheet2!$A$2:$G$32,4,FALSE)</f>
        <v>Hammond (Chicago Metro)</v>
      </c>
      <c r="H34" t="str">
        <f>VLOOKUP(B34,Sheet2!$A$2:$G$32,5,FALSE)</f>
        <v>IN</v>
      </c>
      <c r="I34">
        <f>VLOOKUP(B34,Sheet2!$A$2:$G$32,6,FALSE)</f>
        <v>41.637709000000001</v>
      </c>
      <c r="J34">
        <f>VLOOKUP(B34,Sheet2!$A$2:$G$32,7,FALSE)</f>
        <v>-87.499498000000003</v>
      </c>
      <c r="K34" t="str">
        <f>VLOOKUP(D34,Sheet2!$A$2:$G$32,2,FALSE)</f>
        <v>Saint Francis Consumer Market</v>
      </c>
      <c r="L34" t="str">
        <f>VLOOKUP(D34,Sheet2!$A$2:$G$32,4,FALSE)</f>
        <v>Saint Francis</v>
      </c>
      <c r="M34" t="str">
        <f>VLOOKUP(D34,Sheet2!$A$2:$G$32,5,FALSE)</f>
        <v>KS</v>
      </c>
      <c r="N34">
        <f>VLOOKUP(D34,Sheet2!$A$2:$G$32,6,FALSE)</f>
        <v>39.772092999999998</v>
      </c>
      <c r="O34">
        <f>VLOOKUP(D34,Sheet2!$A$2:$G$32,7,FALSE)</f>
        <v>-101.8015</v>
      </c>
    </row>
    <row r="35" spans="1:15" x14ac:dyDescent="0.35">
      <c r="A35" s="2" t="s">
        <v>7</v>
      </c>
      <c r="B35" s="2" t="s">
        <v>30</v>
      </c>
      <c r="C35" s="2" t="s">
        <v>8</v>
      </c>
      <c r="D35" s="2" t="s">
        <v>42</v>
      </c>
      <c r="E35" s="3">
        <v>1996.4359999999999</v>
      </c>
      <c r="F35" t="str">
        <f>VLOOKUP(B35,Sheet2!$A$2:$G$32,2,FALSE)</f>
        <v>Mississippi River Farms</v>
      </c>
      <c r="G35" t="str">
        <f>VLOOKUP(B35,Sheet2!$A$2:$G$32,4,FALSE)</f>
        <v>Near St. Louis</v>
      </c>
      <c r="H35" t="str">
        <f>VLOOKUP(B35,Sheet2!$A$2:$G$32,5,FALSE)</f>
        <v>MO</v>
      </c>
      <c r="I35">
        <f>VLOOKUP(B35,Sheet2!$A$2:$G$32,6,FALSE)</f>
        <v>38.931370000000001</v>
      </c>
      <c r="J35">
        <f>VLOOKUP(B35,Sheet2!$A$2:$G$32,7,FALSE)</f>
        <v>-90.123019999999997</v>
      </c>
      <c r="K35" t="str">
        <f>VLOOKUP(D35,Sheet2!$A$2:$G$32,2,FALSE)</f>
        <v>Springfield Processor</v>
      </c>
      <c r="L35" t="str">
        <f>VLOOKUP(D35,Sheet2!$A$2:$G$32,4,FALSE)</f>
        <v>Springfield</v>
      </c>
      <c r="M35" t="str">
        <f>VLOOKUP(D35,Sheet2!$A$2:$G$32,5,FALSE)</f>
        <v>IL</v>
      </c>
      <c r="N35">
        <f>VLOOKUP(D35,Sheet2!$A$2:$G$32,6,FALSE)</f>
        <v>39.841932999999997</v>
      </c>
      <c r="O35">
        <f>VLOOKUP(D35,Sheet2!$A$2:$G$32,7,FALSE)</f>
        <v>-89.642167000000001</v>
      </c>
    </row>
    <row r="36" spans="1:15" x14ac:dyDescent="0.35">
      <c r="A36" s="2" t="s">
        <v>7</v>
      </c>
      <c r="B36" s="2" t="s">
        <v>42</v>
      </c>
      <c r="C36" s="2" t="s">
        <v>8</v>
      </c>
      <c r="D36" s="2" t="s">
        <v>71</v>
      </c>
      <c r="E36" s="3">
        <v>1996.4359999999999</v>
      </c>
      <c r="F36" t="str">
        <f>VLOOKUP(B36,Sheet2!$A$2:$G$32,2,FALSE)</f>
        <v>Springfield Processor</v>
      </c>
      <c r="G36" t="str">
        <f>VLOOKUP(B36,Sheet2!$A$2:$G$32,4,FALSE)</f>
        <v>Springfield</v>
      </c>
      <c r="H36" t="str">
        <f>VLOOKUP(B36,Sheet2!$A$2:$G$32,5,FALSE)</f>
        <v>IL</v>
      </c>
      <c r="I36">
        <f>VLOOKUP(B36,Sheet2!$A$2:$G$32,6,FALSE)</f>
        <v>39.841932999999997</v>
      </c>
      <c r="J36">
        <f>VLOOKUP(B36,Sheet2!$A$2:$G$32,7,FALSE)</f>
        <v>-89.642167000000001</v>
      </c>
      <c r="K36" t="str">
        <f>VLOOKUP(D36,Sheet2!$A$2:$G$32,2,FALSE)</f>
        <v>Chicago Metro Cold Warehouse</v>
      </c>
      <c r="L36" t="str">
        <f>VLOOKUP(D36,Sheet2!$A$2:$G$32,4,FALSE)</f>
        <v>Hammond (Chicago Metro)</v>
      </c>
      <c r="M36" t="str">
        <f>VLOOKUP(D36,Sheet2!$A$2:$G$32,5,FALSE)</f>
        <v>IN</v>
      </c>
      <c r="N36">
        <f>VLOOKUP(D36,Sheet2!$A$2:$G$32,6,FALSE)</f>
        <v>41.637709000000001</v>
      </c>
      <c r="O36">
        <f>VLOOKUP(D36,Sheet2!$A$2:$G$32,7,FALSE)</f>
        <v>-87.499498000000003</v>
      </c>
    </row>
    <row r="37" spans="1:15" x14ac:dyDescent="0.35">
      <c r="A37" s="2" t="s">
        <v>7</v>
      </c>
      <c r="B37" s="2" t="s">
        <v>63</v>
      </c>
      <c r="C37" s="2" t="s">
        <v>8</v>
      </c>
      <c r="D37" s="2" t="s">
        <v>106</v>
      </c>
      <c r="E37" s="3">
        <v>4000</v>
      </c>
      <c r="F37" t="str">
        <f>VLOOKUP(B37,Sheet2!$A$2:$G$32,2,FALSE)</f>
        <v>St. Louis Regional Cold DC</v>
      </c>
      <c r="G37" t="str">
        <f>VLOOKUP(B37,Sheet2!$A$2:$G$32,4,FALSE)</f>
        <v>O'Fallon</v>
      </c>
      <c r="H37" t="str">
        <f>VLOOKUP(B37,Sheet2!$A$2:$G$32,5,FALSE)</f>
        <v>MO</v>
      </c>
      <c r="I37">
        <f>VLOOKUP(B37,Sheet2!$A$2:$G$32,6,FALSE)</f>
        <v>38.781930000000003</v>
      </c>
      <c r="J37">
        <f>VLOOKUP(B37,Sheet2!$A$2:$G$32,7,FALSE)</f>
        <v>-90.528041000000002</v>
      </c>
      <c r="K37" t="str">
        <f>VLOOKUP(D37,Sheet2!$A$2:$G$32,2,FALSE)</f>
        <v>Harvesters Community Food Network</v>
      </c>
      <c r="L37" t="str">
        <f>VLOOKUP(D37,Sheet2!$A$2:$G$32,4,FALSE)</f>
        <v>Kansas City</v>
      </c>
      <c r="M37" t="str">
        <f>VLOOKUP(D37,Sheet2!$A$2:$G$32,5,FALSE)</f>
        <v>MO</v>
      </c>
      <c r="N37">
        <f>VLOOKUP(D37,Sheet2!$A$2:$G$32,6,FALSE)</f>
        <v>39.055128000000003</v>
      </c>
      <c r="O37">
        <f>VLOOKUP(D37,Sheet2!$A$2:$G$32,7,FALSE)</f>
        <v>-94.516656999999995</v>
      </c>
    </row>
    <row r="38" spans="1:15" x14ac:dyDescent="0.35">
      <c r="A38" s="2" t="s">
        <v>7</v>
      </c>
      <c r="B38" s="2" t="s">
        <v>67</v>
      </c>
      <c r="C38" s="2" t="s">
        <v>8</v>
      </c>
      <c r="D38" s="2" t="s">
        <v>106</v>
      </c>
      <c r="E38" s="3">
        <v>1141.597</v>
      </c>
      <c r="F38" t="str">
        <f>VLOOKUP(B38,Sheet2!$A$2:$G$32,2,FALSE)</f>
        <v>Kansas City Cold Storage Hub</v>
      </c>
      <c r="G38" t="str">
        <f>VLOOKUP(B38,Sheet2!$A$2:$G$32,4,FALSE)</f>
        <v>Kansas City</v>
      </c>
      <c r="H38" t="str">
        <f>VLOOKUP(B38,Sheet2!$A$2:$G$32,5,FALSE)</f>
        <v>MO</v>
      </c>
      <c r="I38">
        <f>VLOOKUP(B38,Sheet2!$A$2:$G$32,6,FALSE)</f>
        <v>38.854474000000003</v>
      </c>
      <c r="J38">
        <f>VLOOKUP(B38,Sheet2!$A$2:$G$32,7,FALSE)</f>
        <v>-94.537951000000007</v>
      </c>
      <c r="K38" t="str">
        <f>VLOOKUP(D38,Sheet2!$A$2:$G$32,2,FALSE)</f>
        <v>Harvesters Community Food Network</v>
      </c>
      <c r="L38" t="str">
        <f>VLOOKUP(D38,Sheet2!$A$2:$G$32,4,FALSE)</f>
        <v>Kansas City</v>
      </c>
      <c r="M38" t="str">
        <f>VLOOKUP(D38,Sheet2!$A$2:$G$32,5,FALSE)</f>
        <v>MO</v>
      </c>
      <c r="N38">
        <f>VLOOKUP(D38,Sheet2!$A$2:$G$32,6,FALSE)</f>
        <v>39.055128000000003</v>
      </c>
      <c r="O38">
        <f>VLOOKUP(D38,Sheet2!$A$2:$G$32,7,FALSE)</f>
        <v>-94.516656999999995</v>
      </c>
    </row>
    <row r="39" spans="1:15" x14ac:dyDescent="0.35">
      <c r="A39" s="2" t="s">
        <v>7</v>
      </c>
      <c r="B39" s="2" t="s">
        <v>67</v>
      </c>
      <c r="C39" s="2" t="s">
        <v>8</v>
      </c>
      <c r="D39" s="2" t="s">
        <v>111</v>
      </c>
      <c r="E39" s="3">
        <v>6047.8459999999995</v>
      </c>
      <c r="F39" t="str">
        <f>VLOOKUP(B39,Sheet2!$A$2:$G$32,2,FALSE)</f>
        <v>Kansas City Cold Storage Hub</v>
      </c>
      <c r="G39" t="str">
        <f>VLOOKUP(B39,Sheet2!$A$2:$G$32,4,FALSE)</f>
        <v>Kansas City</v>
      </c>
      <c r="H39" t="str">
        <f>VLOOKUP(B39,Sheet2!$A$2:$G$32,5,FALSE)</f>
        <v>MO</v>
      </c>
      <c r="I39">
        <f>VLOOKUP(B39,Sheet2!$A$2:$G$32,6,FALSE)</f>
        <v>38.854474000000003</v>
      </c>
      <c r="J39">
        <f>VLOOKUP(B39,Sheet2!$A$2:$G$32,7,FALSE)</f>
        <v>-94.537951000000007</v>
      </c>
      <c r="K39" t="str">
        <f>VLOOKUP(D39,Sheet2!$A$2:$G$32,2,FALSE)</f>
        <v>St. Louis Metro Market</v>
      </c>
      <c r="L39" t="str">
        <f>VLOOKUP(D39,Sheet2!$A$2:$G$32,4,FALSE)</f>
        <v>St. Louis Metro</v>
      </c>
      <c r="M39" t="str">
        <f>VLOOKUP(D39,Sheet2!$A$2:$G$32,5,FALSE)</f>
        <v>MO–IL</v>
      </c>
      <c r="N39">
        <f>VLOOKUP(D39,Sheet2!$A$2:$G$32,6,FALSE)</f>
        <v>38.627732999999999</v>
      </c>
      <c r="O39">
        <f>VLOOKUP(D39,Sheet2!$A$2:$G$32,7,FALSE)</f>
        <v>-90.239333999999999</v>
      </c>
    </row>
    <row r="40" spans="1:15" x14ac:dyDescent="0.35">
      <c r="A40" s="2" t="s">
        <v>7</v>
      </c>
      <c r="B40" s="2" t="s">
        <v>71</v>
      </c>
      <c r="C40" s="2" t="s">
        <v>8</v>
      </c>
      <c r="D40" s="2" t="s">
        <v>112</v>
      </c>
      <c r="E40" s="2">
        <v>799.64359999999999</v>
      </c>
      <c r="F40" t="str">
        <f>VLOOKUP(B40,Sheet2!$A$2:$G$32,2,FALSE)</f>
        <v>Chicago Metro Cold Warehouse</v>
      </c>
      <c r="G40" t="str">
        <f>VLOOKUP(B40,Sheet2!$A$2:$G$32,4,FALSE)</f>
        <v>Hammond (Chicago Metro)</v>
      </c>
      <c r="H40" t="str">
        <f>VLOOKUP(B40,Sheet2!$A$2:$G$32,5,FALSE)</f>
        <v>IN</v>
      </c>
      <c r="I40">
        <f>VLOOKUP(B40,Sheet2!$A$2:$G$32,6,FALSE)</f>
        <v>41.637709000000001</v>
      </c>
      <c r="J40">
        <f>VLOOKUP(B40,Sheet2!$A$2:$G$32,7,FALSE)</f>
        <v>-87.499498000000003</v>
      </c>
      <c r="K40" t="str">
        <f>VLOOKUP(D40,Sheet2!$A$2:$G$32,2,FALSE)</f>
        <v>Chicago Metro Cold Warehouse</v>
      </c>
      <c r="L40" t="str">
        <f>VLOOKUP(D40,Sheet2!$A$2:$G$32,4,FALSE)</f>
        <v>Hammond (Chicago Metro)</v>
      </c>
      <c r="M40" t="str">
        <f>VLOOKUP(D40,Sheet2!$A$2:$G$32,5,FALSE)</f>
        <v>IN</v>
      </c>
      <c r="N40">
        <f>VLOOKUP(D40,Sheet2!$A$2:$G$32,6,FALSE)</f>
        <v>41.637709000000001</v>
      </c>
      <c r="O40">
        <f>VLOOKUP(D40,Sheet2!$A$2:$G$32,7,FALSE)</f>
        <v>-87.499498000000003</v>
      </c>
    </row>
    <row r="41" spans="1:15" x14ac:dyDescent="0.35">
      <c r="A41" s="2" t="s">
        <v>7</v>
      </c>
      <c r="B41" s="2" t="s">
        <v>106</v>
      </c>
      <c r="C41" s="2" t="s">
        <v>8</v>
      </c>
      <c r="D41" s="2" t="s">
        <v>75</v>
      </c>
      <c r="E41" s="3">
        <v>2881.645</v>
      </c>
      <c r="F41" t="str">
        <f>VLOOKUP(B41,Sheet2!$A$2:$G$32,2,FALSE)</f>
        <v>Harvesters Community Food Network</v>
      </c>
      <c r="G41" t="str">
        <f>VLOOKUP(B41,Sheet2!$A$2:$G$32,4,FALSE)</f>
        <v>Kansas City</v>
      </c>
      <c r="H41" t="str">
        <f>VLOOKUP(B41,Sheet2!$A$2:$G$32,5,FALSE)</f>
        <v>MO</v>
      </c>
      <c r="I41">
        <f>VLOOKUP(B41,Sheet2!$A$2:$G$32,6,FALSE)</f>
        <v>39.055128000000003</v>
      </c>
      <c r="J41">
        <f>VLOOKUP(B41,Sheet2!$A$2:$G$32,7,FALSE)</f>
        <v>-94.516656999999995</v>
      </c>
      <c r="K41" t="str">
        <f>VLOOKUP(D41,Sheet2!$A$2:$G$32,2,FALSE)</f>
        <v>St. Louis Metro Market</v>
      </c>
      <c r="L41" t="str">
        <f>VLOOKUP(D41,Sheet2!$A$2:$G$32,4,FALSE)</f>
        <v>St. Louis Metro</v>
      </c>
      <c r="M41" t="str">
        <f>VLOOKUP(D41,Sheet2!$A$2:$G$32,5,FALSE)</f>
        <v>MO–IL</v>
      </c>
      <c r="N41">
        <f>VLOOKUP(D41,Sheet2!$A$2:$G$32,6,FALSE)</f>
        <v>38.627732999999999</v>
      </c>
      <c r="O41">
        <f>VLOOKUP(D41,Sheet2!$A$2:$G$32,7,FALSE)</f>
        <v>-90.239333999999999</v>
      </c>
    </row>
    <row r="42" spans="1:15" x14ac:dyDescent="0.35">
      <c r="A42" s="2" t="s">
        <v>7</v>
      </c>
      <c r="B42" s="2" t="s">
        <v>106</v>
      </c>
      <c r="C42" s="2" t="s">
        <v>8</v>
      </c>
      <c r="D42" s="2" t="s">
        <v>80</v>
      </c>
      <c r="E42" s="3">
        <v>2259.9520000000002</v>
      </c>
      <c r="F42" t="str">
        <f>VLOOKUP(B42,Sheet2!$A$2:$G$32,2,FALSE)</f>
        <v>Harvesters Community Food Network</v>
      </c>
      <c r="G42" t="str">
        <f>VLOOKUP(B42,Sheet2!$A$2:$G$32,4,FALSE)</f>
        <v>Kansas City</v>
      </c>
      <c r="H42" t="str">
        <f>VLOOKUP(B42,Sheet2!$A$2:$G$32,5,FALSE)</f>
        <v>MO</v>
      </c>
      <c r="I42">
        <f>VLOOKUP(B42,Sheet2!$A$2:$G$32,6,FALSE)</f>
        <v>39.055128000000003</v>
      </c>
      <c r="J42">
        <f>VLOOKUP(B42,Sheet2!$A$2:$G$32,7,FALSE)</f>
        <v>-94.516656999999995</v>
      </c>
      <c r="K42" t="str">
        <f>VLOOKUP(D42,Sheet2!$A$2:$G$32,2,FALSE)</f>
        <v>Kansas City Metro Market</v>
      </c>
      <c r="L42" t="str">
        <f>VLOOKUP(D42,Sheet2!$A$2:$G$32,4,FALSE)</f>
        <v>Kansas City Metro</v>
      </c>
      <c r="M42" t="str">
        <f>VLOOKUP(D42,Sheet2!$A$2:$G$32,5,FALSE)</f>
        <v>MO–KS</v>
      </c>
      <c r="N42">
        <f>VLOOKUP(D42,Sheet2!$A$2:$G$32,6,FALSE)</f>
        <v>39.015926999999998</v>
      </c>
      <c r="O42">
        <f>VLOOKUP(D42,Sheet2!$A$2:$G$32,7,FALSE)</f>
        <v>-94.422894999999997</v>
      </c>
    </row>
    <row r="43" spans="1:15" x14ac:dyDescent="0.35">
      <c r="A43" s="2" t="s">
        <v>7</v>
      </c>
      <c r="B43" s="2" t="s">
        <v>111</v>
      </c>
      <c r="C43" s="2" t="s">
        <v>8</v>
      </c>
      <c r="D43" s="2" t="s">
        <v>84</v>
      </c>
      <c r="E43" s="2">
        <v>213.417</v>
      </c>
      <c r="F43" t="str">
        <f>VLOOKUP(B43,Sheet2!$A$2:$G$32,2,FALSE)</f>
        <v>St. Louis Metro Market</v>
      </c>
      <c r="G43" t="str">
        <f>VLOOKUP(B43,Sheet2!$A$2:$G$32,4,FALSE)</f>
        <v>St. Louis Metro</v>
      </c>
      <c r="H43" t="str">
        <f>VLOOKUP(B43,Sheet2!$A$2:$G$32,5,FALSE)</f>
        <v>MO–IL</v>
      </c>
      <c r="I43">
        <f>VLOOKUP(B43,Sheet2!$A$2:$G$32,6,FALSE)</f>
        <v>38.627732999999999</v>
      </c>
      <c r="J43">
        <f>VLOOKUP(B43,Sheet2!$A$2:$G$32,7,FALSE)</f>
        <v>-90.239333999999999</v>
      </c>
      <c r="K43" t="str">
        <f>VLOOKUP(D43,Sheet2!$A$2:$G$32,2,FALSE)</f>
        <v>Springfield Consumer Market</v>
      </c>
      <c r="L43" t="str">
        <f>VLOOKUP(D43,Sheet2!$A$2:$G$32,4,FALSE)</f>
        <v>Springfield</v>
      </c>
      <c r="M43" t="str">
        <f>VLOOKUP(D43,Sheet2!$A$2:$G$32,5,FALSE)</f>
        <v>MO</v>
      </c>
      <c r="N43">
        <f>VLOOKUP(D43,Sheet2!$A$2:$G$32,6,FALSE)</f>
        <v>37.161437999999997</v>
      </c>
      <c r="O43">
        <f>VLOOKUP(D43,Sheet2!$A$2:$G$32,7,FALSE)</f>
        <v>-93.283608000000001</v>
      </c>
    </row>
    <row r="44" spans="1:15" x14ac:dyDescent="0.35">
      <c r="A44" s="2" t="s">
        <v>7</v>
      </c>
      <c r="B44" s="2" t="s">
        <v>111</v>
      </c>
      <c r="C44" s="2" t="s">
        <v>8</v>
      </c>
      <c r="D44" s="2" t="s">
        <v>86</v>
      </c>
      <c r="E44" s="3">
        <v>4958.0789999999997</v>
      </c>
      <c r="F44" t="str">
        <f>VLOOKUP(B44,Sheet2!$A$2:$G$32,2,FALSE)</f>
        <v>St. Louis Metro Market</v>
      </c>
      <c r="G44" t="str">
        <f>VLOOKUP(B44,Sheet2!$A$2:$G$32,4,FALSE)</f>
        <v>St. Louis Metro</v>
      </c>
      <c r="H44" t="str">
        <f>VLOOKUP(B44,Sheet2!$A$2:$G$32,5,FALSE)</f>
        <v>MO–IL</v>
      </c>
      <c r="I44">
        <f>VLOOKUP(B44,Sheet2!$A$2:$G$32,6,FALSE)</f>
        <v>38.627732999999999</v>
      </c>
      <c r="J44">
        <f>VLOOKUP(B44,Sheet2!$A$2:$G$32,7,FALSE)</f>
        <v>-90.239333999999999</v>
      </c>
      <c r="K44" t="str">
        <f>VLOOKUP(D44,Sheet2!$A$2:$G$32,2,FALSE)</f>
        <v>Chicago Metro Market</v>
      </c>
      <c r="L44" t="str">
        <f>VLOOKUP(D44,Sheet2!$A$2:$G$32,4,FALSE)</f>
        <v>Chicago</v>
      </c>
      <c r="M44" t="str">
        <f>VLOOKUP(D44,Sheet2!$A$2:$G$32,5,FALSE)</f>
        <v>IL</v>
      </c>
      <c r="N44">
        <f>VLOOKUP(D44,Sheet2!$A$2:$G$32,6,FALSE)</f>
        <v>41.877749999999999</v>
      </c>
      <c r="O44">
        <f>VLOOKUP(D44,Sheet2!$A$2:$G$32,7,FALSE)</f>
        <v>-87.867125999999999</v>
      </c>
    </row>
    <row r="45" spans="1:15" x14ac:dyDescent="0.35">
      <c r="A45" s="2" t="s">
        <v>7</v>
      </c>
      <c r="B45" s="2" t="s">
        <v>111</v>
      </c>
      <c r="C45" s="2" t="s">
        <v>8</v>
      </c>
      <c r="D45" s="2" t="s">
        <v>89</v>
      </c>
      <c r="E45" s="2">
        <v>876.35</v>
      </c>
      <c r="F45" t="str">
        <f>VLOOKUP(B45,Sheet2!$A$2:$G$32,2,FALSE)</f>
        <v>St. Louis Metro Market</v>
      </c>
      <c r="G45" t="str">
        <f>VLOOKUP(B45,Sheet2!$A$2:$G$32,4,FALSE)</f>
        <v>St. Louis Metro</v>
      </c>
      <c r="H45" t="str">
        <f>VLOOKUP(B45,Sheet2!$A$2:$G$32,5,FALSE)</f>
        <v>MO–IL</v>
      </c>
      <c r="I45">
        <f>VLOOKUP(B45,Sheet2!$A$2:$G$32,6,FALSE)</f>
        <v>38.627732999999999</v>
      </c>
      <c r="J45">
        <f>VLOOKUP(B45,Sheet2!$A$2:$G$32,7,FALSE)</f>
        <v>-90.239333999999999</v>
      </c>
      <c r="K45" t="str">
        <f>VLOOKUP(D45,Sheet2!$A$2:$G$32,2,FALSE)</f>
        <v>Bloomington Consumer Market</v>
      </c>
      <c r="L45" t="str">
        <f>VLOOKUP(D45,Sheet2!$A$2:$G$32,4,FALSE)</f>
        <v>Bloomington–Normal</v>
      </c>
      <c r="M45" t="str">
        <f>VLOOKUP(D45,Sheet2!$A$2:$G$32,5,FALSE)</f>
        <v>IL</v>
      </c>
      <c r="N45">
        <f>VLOOKUP(D45,Sheet2!$A$2:$G$32,6,FALSE)</f>
        <v>40.503591999999998</v>
      </c>
      <c r="O45">
        <f>VLOOKUP(D45,Sheet2!$A$2:$G$32,7,FALSE)</f>
        <v>-88.962800999999999</v>
      </c>
    </row>
    <row r="46" spans="1:15" x14ac:dyDescent="0.35">
      <c r="A46" s="2" t="s">
        <v>7</v>
      </c>
      <c r="B46" s="2" t="s">
        <v>112</v>
      </c>
      <c r="C46" s="2" t="s">
        <v>8</v>
      </c>
      <c r="D46" s="2" t="s">
        <v>92</v>
      </c>
      <c r="E46" s="2">
        <v>667.67560000000003</v>
      </c>
      <c r="F46" t="str">
        <f>VLOOKUP(B46,Sheet2!$A$2:$G$32,2,FALSE)</f>
        <v>Chicago Metro Cold Warehouse</v>
      </c>
      <c r="G46" t="str">
        <f>VLOOKUP(B46,Sheet2!$A$2:$G$32,4,FALSE)</f>
        <v>Hammond (Chicago Metro)</v>
      </c>
      <c r="H46" t="str">
        <f>VLOOKUP(B46,Sheet2!$A$2:$G$32,5,FALSE)</f>
        <v>IN</v>
      </c>
      <c r="I46">
        <f>VLOOKUP(B46,Sheet2!$A$2:$G$32,6,FALSE)</f>
        <v>41.637709000000001</v>
      </c>
      <c r="J46">
        <f>VLOOKUP(B46,Sheet2!$A$2:$G$32,7,FALSE)</f>
        <v>-87.499498000000003</v>
      </c>
      <c r="K46" t="str">
        <f>VLOOKUP(D46,Sheet2!$A$2:$G$32,2,FALSE)</f>
        <v>Wichita Consumer Market</v>
      </c>
      <c r="L46" t="str">
        <f>VLOOKUP(D46,Sheet2!$A$2:$G$32,4,FALSE)</f>
        <v>Wichita</v>
      </c>
      <c r="M46" t="str">
        <f>VLOOKUP(D46,Sheet2!$A$2:$G$32,5,FALSE)</f>
        <v>KS</v>
      </c>
      <c r="N46">
        <f>VLOOKUP(D46,Sheet2!$A$2:$G$32,6,FALSE)</f>
        <v>37.682581999999996</v>
      </c>
      <c r="O46">
        <f>VLOOKUP(D46,Sheet2!$A$2:$G$32,7,FALSE)</f>
        <v>-97.378635000000003</v>
      </c>
    </row>
    <row r="47" spans="1:15" x14ac:dyDescent="0.35">
      <c r="A47" s="2" t="s">
        <v>7</v>
      </c>
      <c r="B47" s="2" t="s">
        <v>112</v>
      </c>
      <c r="C47" s="2" t="s">
        <v>8</v>
      </c>
      <c r="D47" s="2" t="s">
        <v>95</v>
      </c>
      <c r="E47" s="2">
        <v>131.96799999999999</v>
      </c>
      <c r="F47" t="str">
        <f>VLOOKUP(B47,Sheet2!$A$2:$G$32,2,FALSE)</f>
        <v>Chicago Metro Cold Warehouse</v>
      </c>
      <c r="G47" t="str">
        <f>VLOOKUP(B47,Sheet2!$A$2:$G$32,4,FALSE)</f>
        <v>Hammond (Chicago Metro)</v>
      </c>
      <c r="H47" t="str">
        <f>VLOOKUP(B47,Sheet2!$A$2:$G$32,5,FALSE)</f>
        <v>IN</v>
      </c>
      <c r="I47">
        <f>VLOOKUP(B47,Sheet2!$A$2:$G$32,6,FALSE)</f>
        <v>41.637709000000001</v>
      </c>
      <c r="J47">
        <f>VLOOKUP(B47,Sheet2!$A$2:$G$32,7,FALSE)</f>
        <v>-87.499498000000003</v>
      </c>
      <c r="K47" t="str">
        <f>VLOOKUP(D47,Sheet2!$A$2:$G$32,2,FALSE)</f>
        <v>Saint Francis Consumer Market</v>
      </c>
      <c r="L47" t="str">
        <f>VLOOKUP(D47,Sheet2!$A$2:$G$32,4,FALSE)</f>
        <v>Saint Francis</v>
      </c>
      <c r="M47" t="str">
        <f>VLOOKUP(D47,Sheet2!$A$2:$G$32,5,FALSE)</f>
        <v>KS</v>
      </c>
      <c r="N47">
        <f>VLOOKUP(D47,Sheet2!$A$2:$G$32,6,FALSE)</f>
        <v>39.772092999999998</v>
      </c>
      <c r="O47">
        <f>VLOOKUP(D47,Sheet2!$A$2:$G$32,7,FALSE)</f>
        <v>-101.8015</v>
      </c>
    </row>
    <row r="48" spans="1:15" x14ac:dyDescent="0.35">
      <c r="A48" s="2" t="s">
        <v>9</v>
      </c>
      <c r="B48" s="2" t="s">
        <v>18</v>
      </c>
      <c r="C48" s="2" t="s">
        <v>10</v>
      </c>
      <c r="D48" s="2" t="s">
        <v>49</v>
      </c>
      <c r="E48" s="3">
        <v>4000</v>
      </c>
      <c r="F48" t="str">
        <f>VLOOKUP(B48,Sheet2!$A$2:$G$32,2,FALSE)</f>
        <v>Midwest Poultry Farm</v>
      </c>
      <c r="G48" t="str">
        <f>VLOOKUP(B48,Sheet2!$A$2:$G$32,4,FALSE)</f>
        <v>Near Sedalia</v>
      </c>
      <c r="H48" t="str">
        <f>VLOOKUP(B48,Sheet2!$A$2:$G$32,5,FALSE)</f>
        <v>MO</v>
      </c>
      <c r="I48">
        <f>VLOOKUP(B48,Sheet2!$A$2:$G$32,6,FALSE)</f>
        <v>38.752989999999997</v>
      </c>
      <c r="J48">
        <f>VLOOKUP(B48,Sheet2!$A$2:$G$32,7,FALSE)</f>
        <v>-93.304969999999997</v>
      </c>
      <c r="K48" t="str">
        <f>VLOOKUP(D48,Sheet2!$A$2:$G$32,2,FALSE)</f>
        <v>Kansas City Processing Hub</v>
      </c>
      <c r="L48" t="str">
        <f>VLOOKUP(D48,Sheet2!$A$2:$G$32,4,FALSE)</f>
        <v>Topeka</v>
      </c>
      <c r="M48" t="str">
        <f>VLOOKUP(D48,Sheet2!$A$2:$G$32,5,FALSE)</f>
        <v>KS</v>
      </c>
      <c r="N48">
        <f>VLOOKUP(D48,Sheet2!$A$2:$G$32,6,FALSE)</f>
        <v>39.161321000000001</v>
      </c>
      <c r="O48">
        <f>VLOOKUP(D48,Sheet2!$A$2:$G$32,7,FALSE)</f>
        <v>-95.665030000000002</v>
      </c>
    </row>
    <row r="49" spans="1:15" x14ac:dyDescent="0.35">
      <c r="A49" s="2" t="s">
        <v>9</v>
      </c>
      <c r="B49" s="2" t="s">
        <v>33</v>
      </c>
      <c r="C49" s="2" t="s">
        <v>10</v>
      </c>
      <c r="D49" s="2" t="s">
        <v>42</v>
      </c>
      <c r="E49" s="3">
        <v>53658.159699999997</v>
      </c>
      <c r="F49" t="str">
        <f>VLOOKUP(B49,Sheet2!$A$2:$G$32,2,FALSE)</f>
        <v>Prairie State Poultry</v>
      </c>
      <c r="G49" t="str">
        <f>VLOOKUP(B49,Sheet2!$A$2:$G$32,4,FALSE)</f>
        <v>Central Illinois</v>
      </c>
      <c r="H49" t="str">
        <f>VLOOKUP(B49,Sheet2!$A$2:$G$32,5,FALSE)</f>
        <v>IL</v>
      </c>
      <c r="I49">
        <f>VLOOKUP(B49,Sheet2!$A$2:$G$32,6,FALSE)</f>
        <v>40.820070000000001</v>
      </c>
      <c r="J49">
        <f>VLOOKUP(B49,Sheet2!$A$2:$G$32,7,FALSE)</f>
        <v>-89.412880000000001</v>
      </c>
      <c r="K49" t="str">
        <f>VLOOKUP(D49,Sheet2!$A$2:$G$32,2,FALSE)</f>
        <v>Springfield Processor</v>
      </c>
      <c r="L49" t="str">
        <f>VLOOKUP(D49,Sheet2!$A$2:$G$32,4,FALSE)</f>
        <v>Springfield</v>
      </c>
      <c r="M49" t="str">
        <f>VLOOKUP(D49,Sheet2!$A$2:$G$32,5,FALSE)</f>
        <v>IL</v>
      </c>
      <c r="N49">
        <f>VLOOKUP(D49,Sheet2!$A$2:$G$32,6,FALSE)</f>
        <v>39.841932999999997</v>
      </c>
      <c r="O49">
        <f>VLOOKUP(D49,Sheet2!$A$2:$G$32,7,FALSE)</f>
        <v>-89.642167000000001</v>
      </c>
    </row>
    <row r="50" spans="1:15" x14ac:dyDescent="0.35">
      <c r="A50" s="2" t="s">
        <v>9</v>
      </c>
      <c r="B50" s="2" t="s">
        <v>33</v>
      </c>
      <c r="C50" s="2" t="s">
        <v>10</v>
      </c>
      <c r="D50" s="2" t="s">
        <v>56</v>
      </c>
      <c r="E50" s="3">
        <v>4000</v>
      </c>
      <c r="F50" t="str">
        <f>VLOOKUP(B50,Sheet2!$A$2:$G$32,2,FALSE)</f>
        <v>Prairie State Poultry</v>
      </c>
      <c r="G50" t="str">
        <f>VLOOKUP(B50,Sheet2!$A$2:$G$32,4,FALSE)</f>
        <v>Central Illinois</v>
      </c>
      <c r="H50" t="str">
        <f>VLOOKUP(B50,Sheet2!$A$2:$G$32,5,FALSE)</f>
        <v>IL</v>
      </c>
      <c r="I50">
        <f>VLOOKUP(B50,Sheet2!$A$2:$G$32,6,FALSE)</f>
        <v>40.820070000000001</v>
      </c>
      <c r="J50">
        <f>VLOOKUP(B50,Sheet2!$A$2:$G$32,7,FALSE)</f>
        <v>-89.412880000000001</v>
      </c>
      <c r="K50" t="str">
        <f>VLOOKUP(D50,Sheet2!$A$2:$G$32,2,FALSE)</f>
        <v>Arthur Poultry Processing</v>
      </c>
      <c r="L50" t="str">
        <f>VLOOKUP(D50,Sheet2!$A$2:$G$32,4,FALSE)</f>
        <v>Peoria</v>
      </c>
      <c r="M50" t="str">
        <f>VLOOKUP(D50,Sheet2!$A$2:$G$32,5,FALSE)</f>
        <v>IL</v>
      </c>
      <c r="N50">
        <f>VLOOKUP(D50,Sheet2!$A$2:$G$32,6,FALSE)</f>
        <v>40.704707999999997</v>
      </c>
      <c r="O50">
        <f>VLOOKUP(D50,Sheet2!$A$2:$G$32,7,FALSE)</f>
        <v>-89.272330999999994</v>
      </c>
    </row>
    <row r="51" spans="1:15" x14ac:dyDescent="0.35">
      <c r="A51" s="2" t="s">
        <v>9</v>
      </c>
      <c r="B51" s="2" t="s">
        <v>42</v>
      </c>
      <c r="C51" s="2" t="s">
        <v>10</v>
      </c>
      <c r="D51" s="2" t="s">
        <v>67</v>
      </c>
      <c r="E51" s="3">
        <v>53545.706899999997</v>
      </c>
      <c r="F51" t="str">
        <f>VLOOKUP(B51,Sheet2!$A$2:$G$32,2,FALSE)</f>
        <v>Springfield Processor</v>
      </c>
      <c r="G51" t="str">
        <f>VLOOKUP(B51,Sheet2!$A$2:$G$32,4,FALSE)</f>
        <v>Springfield</v>
      </c>
      <c r="H51" t="str">
        <f>VLOOKUP(B51,Sheet2!$A$2:$G$32,5,FALSE)</f>
        <v>IL</v>
      </c>
      <c r="I51">
        <f>VLOOKUP(B51,Sheet2!$A$2:$G$32,6,FALSE)</f>
        <v>39.841932999999997</v>
      </c>
      <c r="J51">
        <f>VLOOKUP(B51,Sheet2!$A$2:$G$32,7,FALSE)</f>
        <v>-89.642167000000001</v>
      </c>
      <c r="K51" t="str">
        <f>VLOOKUP(D51,Sheet2!$A$2:$G$32,2,FALSE)</f>
        <v>Kansas City Cold Storage Hub</v>
      </c>
      <c r="L51" t="str">
        <f>VLOOKUP(D51,Sheet2!$A$2:$G$32,4,FALSE)</f>
        <v>Kansas City</v>
      </c>
      <c r="M51" t="str">
        <f>VLOOKUP(D51,Sheet2!$A$2:$G$32,5,FALSE)</f>
        <v>MO</v>
      </c>
      <c r="N51">
        <f>VLOOKUP(D51,Sheet2!$A$2:$G$32,6,FALSE)</f>
        <v>38.854474000000003</v>
      </c>
      <c r="O51">
        <f>VLOOKUP(D51,Sheet2!$A$2:$G$32,7,FALSE)</f>
        <v>-94.537951000000007</v>
      </c>
    </row>
    <row r="52" spans="1:15" x14ac:dyDescent="0.35">
      <c r="A52" s="2" t="s">
        <v>9</v>
      </c>
      <c r="B52" s="2" t="s">
        <v>42</v>
      </c>
      <c r="C52" s="2" t="s">
        <v>10</v>
      </c>
      <c r="D52" s="2" t="s">
        <v>71</v>
      </c>
      <c r="E52" s="2">
        <v>112.4528</v>
      </c>
      <c r="F52" t="str">
        <f>VLOOKUP(B52,Sheet2!$A$2:$G$32,2,FALSE)</f>
        <v>Springfield Processor</v>
      </c>
      <c r="G52" t="str">
        <f>VLOOKUP(B52,Sheet2!$A$2:$G$32,4,FALSE)</f>
        <v>Springfield</v>
      </c>
      <c r="H52" t="str">
        <f>VLOOKUP(B52,Sheet2!$A$2:$G$32,5,FALSE)</f>
        <v>IL</v>
      </c>
      <c r="I52">
        <f>VLOOKUP(B52,Sheet2!$A$2:$G$32,6,FALSE)</f>
        <v>39.841932999999997</v>
      </c>
      <c r="J52">
        <f>VLOOKUP(B52,Sheet2!$A$2:$G$32,7,FALSE)</f>
        <v>-89.642167000000001</v>
      </c>
      <c r="K52" t="str">
        <f>VLOOKUP(D52,Sheet2!$A$2:$G$32,2,FALSE)</f>
        <v>Chicago Metro Cold Warehouse</v>
      </c>
      <c r="L52" t="str">
        <f>VLOOKUP(D52,Sheet2!$A$2:$G$32,4,FALSE)</f>
        <v>Hammond (Chicago Metro)</v>
      </c>
      <c r="M52" t="str">
        <f>VLOOKUP(D52,Sheet2!$A$2:$G$32,5,FALSE)</f>
        <v>IN</v>
      </c>
      <c r="N52">
        <f>VLOOKUP(D52,Sheet2!$A$2:$G$32,6,FALSE)</f>
        <v>41.637709000000001</v>
      </c>
      <c r="O52">
        <f>VLOOKUP(D52,Sheet2!$A$2:$G$32,7,FALSE)</f>
        <v>-87.499498000000003</v>
      </c>
    </row>
    <row r="53" spans="1:15" x14ac:dyDescent="0.35">
      <c r="A53" s="2" t="s">
        <v>9</v>
      </c>
      <c r="B53" s="2" t="s">
        <v>49</v>
      </c>
      <c r="C53" s="2" t="s">
        <v>10</v>
      </c>
      <c r="D53" s="2" t="s">
        <v>63</v>
      </c>
      <c r="E53" s="3">
        <v>4000</v>
      </c>
      <c r="F53" t="str">
        <f>VLOOKUP(B53,Sheet2!$A$2:$G$32,2,FALSE)</f>
        <v>Kansas City Processing Hub</v>
      </c>
      <c r="G53" t="str">
        <f>VLOOKUP(B53,Sheet2!$A$2:$G$32,4,FALSE)</f>
        <v>Topeka</v>
      </c>
      <c r="H53" t="str">
        <f>VLOOKUP(B53,Sheet2!$A$2:$G$32,5,FALSE)</f>
        <v>KS</v>
      </c>
      <c r="I53">
        <f>VLOOKUP(B53,Sheet2!$A$2:$G$32,6,FALSE)</f>
        <v>39.161321000000001</v>
      </c>
      <c r="J53">
        <f>VLOOKUP(B53,Sheet2!$A$2:$G$32,7,FALSE)</f>
        <v>-95.665030000000002</v>
      </c>
      <c r="K53" t="str">
        <f>VLOOKUP(D53,Sheet2!$A$2:$G$32,2,FALSE)</f>
        <v>St. Louis Regional Cold DC</v>
      </c>
      <c r="L53" t="str">
        <f>VLOOKUP(D53,Sheet2!$A$2:$G$32,4,FALSE)</f>
        <v>O'Fallon</v>
      </c>
      <c r="M53" t="str">
        <f>VLOOKUP(D53,Sheet2!$A$2:$G$32,5,FALSE)</f>
        <v>MO</v>
      </c>
      <c r="N53">
        <f>VLOOKUP(D53,Sheet2!$A$2:$G$32,6,FALSE)</f>
        <v>38.781930000000003</v>
      </c>
      <c r="O53">
        <f>VLOOKUP(D53,Sheet2!$A$2:$G$32,7,FALSE)</f>
        <v>-90.528041000000002</v>
      </c>
    </row>
    <row r="54" spans="1:15" x14ac:dyDescent="0.35">
      <c r="A54" s="2" t="s">
        <v>9</v>
      </c>
      <c r="B54" s="2" t="s">
        <v>56</v>
      </c>
      <c r="C54" s="2" t="s">
        <v>10</v>
      </c>
      <c r="D54" s="2" t="s">
        <v>71</v>
      </c>
      <c r="E54" s="3">
        <v>4000</v>
      </c>
      <c r="F54" t="str">
        <f>VLOOKUP(B54,Sheet2!$A$2:$G$32,2,FALSE)</f>
        <v>Arthur Poultry Processing</v>
      </c>
      <c r="G54" t="str">
        <f>VLOOKUP(B54,Sheet2!$A$2:$G$32,4,FALSE)</f>
        <v>Peoria</v>
      </c>
      <c r="H54" t="str">
        <f>VLOOKUP(B54,Sheet2!$A$2:$G$32,5,FALSE)</f>
        <v>IL</v>
      </c>
      <c r="I54">
        <f>VLOOKUP(B54,Sheet2!$A$2:$G$32,6,FALSE)</f>
        <v>40.704707999999997</v>
      </c>
      <c r="J54">
        <f>VLOOKUP(B54,Sheet2!$A$2:$G$32,7,FALSE)</f>
        <v>-89.272330999999994</v>
      </c>
      <c r="K54" t="str">
        <f>VLOOKUP(D54,Sheet2!$A$2:$G$32,2,FALSE)</f>
        <v>Chicago Metro Cold Warehouse</v>
      </c>
      <c r="L54" t="str">
        <f>VLOOKUP(D54,Sheet2!$A$2:$G$32,4,FALSE)</f>
        <v>Hammond (Chicago Metro)</v>
      </c>
      <c r="M54" t="str">
        <f>VLOOKUP(D54,Sheet2!$A$2:$G$32,5,FALSE)</f>
        <v>IN</v>
      </c>
      <c r="N54">
        <f>VLOOKUP(D54,Sheet2!$A$2:$G$32,6,FALSE)</f>
        <v>41.637709000000001</v>
      </c>
      <c r="O54">
        <f>VLOOKUP(D54,Sheet2!$A$2:$G$32,7,FALSE)</f>
        <v>-87.499498000000003</v>
      </c>
    </row>
    <row r="55" spans="1:15" x14ac:dyDescent="0.35">
      <c r="A55" s="2" t="s">
        <v>9</v>
      </c>
      <c r="B55" s="2" t="s">
        <v>63</v>
      </c>
      <c r="C55" s="2" t="s">
        <v>10</v>
      </c>
      <c r="D55" s="2" t="s">
        <v>108</v>
      </c>
      <c r="E55" s="3">
        <v>1400</v>
      </c>
      <c r="F55" t="str">
        <f>VLOOKUP(B55,Sheet2!$A$2:$G$32,2,FALSE)</f>
        <v>St. Louis Regional Cold DC</v>
      </c>
      <c r="G55" t="str">
        <f>VLOOKUP(B55,Sheet2!$A$2:$G$32,4,FALSE)</f>
        <v>O'Fallon</v>
      </c>
      <c r="H55" t="str">
        <f>VLOOKUP(B55,Sheet2!$A$2:$G$32,5,FALSE)</f>
        <v>MO</v>
      </c>
      <c r="I55">
        <f>VLOOKUP(B55,Sheet2!$A$2:$G$32,6,FALSE)</f>
        <v>38.781930000000003</v>
      </c>
      <c r="J55">
        <f>VLOOKUP(B55,Sheet2!$A$2:$G$32,7,FALSE)</f>
        <v>-90.528041000000002</v>
      </c>
      <c r="K55" t="str">
        <f>VLOOKUP(D55,Sheet2!$A$2:$G$32,2,FALSE)</f>
        <v>Rolla Retailers</v>
      </c>
      <c r="L55" t="str">
        <f>VLOOKUP(D55,Sheet2!$A$2:$G$32,4,FALSE)</f>
        <v>Rolla</v>
      </c>
      <c r="M55" t="str">
        <f>VLOOKUP(D55,Sheet2!$A$2:$G$32,5,FALSE)</f>
        <v>MO</v>
      </c>
      <c r="N55">
        <f>VLOOKUP(D55,Sheet2!$A$2:$G$32,6,FALSE)</f>
        <v>37.90654</v>
      </c>
      <c r="O55">
        <f>VLOOKUP(D55,Sheet2!$A$2:$G$32,7,FALSE)</f>
        <v>-91.793405000000007</v>
      </c>
    </row>
    <row r="56" spans="1:15" x14ac:dyDescent="0.35">
      <c r="A56" s="2" t="s">
        <v>9</v>
      </c>
      <c r="B56" s="2" t="s">
        <v>67</v>
      </c>
      <c r="C56" s="2" t="s">
        <v>10</v>
      </c>
      <c r="D56" s="2" t="s">
        <v>106</v>
      </c>
      <c r="E56" s="3">
        <v>9254.8745999999992</v>
      </c>
      <c r="F56" t="str">
        <f>VLOOKUP(B56,Sheet2!$A$2:$G$32,2,FALSE)</f>
        <v>Kansas City Cold Storage Hub</v>
      </c>
      <c r="G56" t="str">
        <f>VLOOKUP(B56,Sheet2!$A$2:$G$32,4,FALSE)</f>
        <v>Kansas City</v>
      </c>
      <c r="H56" t="str">
        <f>VLOOKUP(B56,Sheet2!$A$2:$G$32,5,FALSE)</f>
        <v>MO</v>
      </c>
      <c r="I56">
        <f>VLOOKUP(B56,Sheet2!$A$2:$G$32,6,FALSE)</f>
        <v>38.854474000000003</v>
      </c>
      <c r="J56">
        <f>VLOOKUP(B56,Sheet2!$A$2:$G$32,7,FALSE)</f>
        <v>-94.537951000000007</v>
      </c>
      <c r="K56" t="str">
        <f>VLOOKUP(D56,Sheet2!$A$2:$G$32,2,FALSE)</f>
        <v>Harvesters Community Food Network</v>
      </c>
      <c r="L56" t="str">
        <f>VLOOKUP(D56,Sheet2!$A$2:$G$32,4,FALSE)</f>
        <v>Kansas City</v>
      </c>
      <c r="M56" t="str">
        <f>VLOOKUP(D56,Sheet2!$A$2:$G$32,5,FALSE)</f>
        <v>MO</v>
      </c>
      <c r="N56">
        <f>VLOOKUP(D56,Sheet2!$A$2:$G$32,6,FALSE)</f>
        <v>39.055128000000003</v>
      </c>
      <c r="O56">
        <f>VLOOKUP(D56,Sheet2!$A$2:$G$32,7,FALSE)</f>
        <v>-94.516656999999995</v>
      </c>
    </row>
    <row r="57" spans="1:15" x14ac:dyDescent="0.35">
      <c r="A57" s="2" t="s">
        <v>9</v>
      </c>
      <c r="B57" s="2" t="s">
        <v>67</v>
      </c>
      <c r="C57" s="2" t="s">
        <v>10</v>
      </c>
      <c r="D57" s="2" t="s">
        <v>108</v>
      </c>
      <c r="E57" s="2">
        <v>177.43</v>
      </c>
      <c r="F57" t="str">
        <f>VLOOKUP(B57,Sheet2!$A$2:$G$32,2,FALSE)</f>
        <v>Kansas City Cold Storage Hub</v>
      </c>
      <c r="G57" t="str">
        <f>VLOOKUP(B57,Sheet2!$A$2:$G$32,4,FALSE)</f>
        <v>Kansas City</v>
      </c>
      <c r="H57" t="str">
        <f>VLOOKUP(B57,Sheet2!$A$2:$G$32,5,FALSE)</f>
        <v>MO</v>
      </c>
      <c r="I57">
        <f>VLOOKUP(B57,Sheet2!$A$2:$G$32,6,FALSE)</f>
        <v>38.854474000000003</v>
      </c>
      <c r="J57">
        <f>VLOOKUP(B57,Sheet2!$A$2:$G$32,7,FALSE)</f>
        <v>-94.537951000000007</v>
      </c>
      <c r="K57" t="str">
        <f>VLOOKUP(D57,Sheet2!$A$2:$G$32,2,FALSE)</f>
        <v>Rolla Retailers</v>
      </c>
      <c r="L57" t="str">
        <f>VLOOKUP(D57,Sheet2!$A$2:$G$32,4,FALSE)</f>
        <v>Rolla</v>
      </c>
      <c r="M57" t="str">
        <f>VLOOKUP(D57,Sheet2!$A$2:$G$32,5,FALSE)</f>
        <v>MO</v>
      </c>
      <c r="N57">
        <f>VLOOKUP(D57,Sheet2!$A$2:$G$32,6,FALSE)</f>
        <v>37.90654</v>
      </c>
      <c r="O57">
        <f>VLOOKUP(D57,Sheet2!$A$2:$G$32,7,FALSE)</f>
        <v>-91.793405000000007</v>
      </c>
    </row>
    <row r="58" spans="1:15" x14ac:dyDescent="0.35">
      <c r="A58" s="2" t="s">
        <v>9</v>
      </c>
      <c r="B58" s="2" t="s">
        <v>67</v>
      </c>
      <c r="C58" s="2" t="s">
        <v>10</v>
      </c>
      <c r="D58" s="2" t="s">
        <v>111</v>
      </c>
      <c r="E58" s="3">
        <v>9308.6928000000007</v>
      </c>
      <c r="F58" t="str">
        <f>VLOOKUP(B58,Sheet2!$A$2:$G$32,2,FALSE)</f>
        <v>Kansas City Cold Storage Hub</v>
      </c>
      <c r="G58" t="str">
        <f>VLOOKUP(B58,Sheet2!$A$2:$G$32,4,FALSE)</f>
        <v>Kansas City</v>
      </c>
      <c r="H58" t="str">
        <f>VLOOKUP(B58,Sheet2!$A$2:$G$32,5,FALSE)</f>
        <v>MO</v>
      </c>
      <c r="I58">
        <f>VLOOKUP(B58,Sheet2!$A$2:$G$32,6,FALSE)</f>
        <v>38.854474000000003</v>
      </c>
      <c r="J58">
        <f>VLOOKUP(B58,Sheet2!$A$2:$G$32,7,FALSE)</f>
        <v>-94.537951000000007</v>
      </c>
      <c r="K58" t="str">
        <f>VLOOKUP(D58,Sheet2!$A$2:$G$32,2,FALSE)</f>
        <v>St. Louis Metro Market</v>
      </c>
      <c r="L58" t="str">
        <f>VLOOKUP(D58,Sheet2!$A$2:$G$32,4,FALSE)</f>
        <v>St. Louis Metro</v>
      </c>
      <c r="M58" t="str">
        <f>VLOOKUP(D58,Sheet2!$A$2:$G$32,5,FALSE)</f>
        <v>MO–IL</v>
      </c>
      <c r="N58">
        <f>VLOOKUP(D58,Sheet2!$A$2:$G$32,6,FALSE)</f>
        <v>38.627732999999999</v>
      </c>
      <c r="O58">
        <f>VLOOKUP(D58,Sheet2!$A$2:$G$32,7,FALSE)</f>
        <v>-90.239333999999999</v>
      </c>
    </row>
    <row r="59" spans="1:15" x14ac:dyDescent="0.35">
      <c r="A59" s="2" t="s">
        <v>9</v>
      </c>
      <c r="B59" s="2" t="s">
        <v>71</v>
      </c>
      <c r="C59" s="2" t="s">
        <v>10</v>
      </c>
      <c r="D59" s="2" t="s">
        <v>112</v>
      </c>
      <c r="E59" s="3">
        <v>1439.3585</v>
      </c>
      <c r="F59" t="str">
        <f>VLOOKUP(B59,Sheet2!$A$2:$G$32,2,FALSE)</f>
        <v>Chicago Metro Cold Warehouse</v>
      </c>
      <c r="G59" t="str">
        <f>VLOOKUP(B59,Sheet2!$A$2:$G$32,4,FALSE)</f>
        <v>Hammond (Chicago Metro)</v>
      </c>
      <c r="H59" t="str">
        <f>VLOOKUP(B59,Sheet2!$A$2:$G$32,5,FALSE)</f>
        <v>IN</v>
      </c>
      <c r="I59">
        <f>VLOOKUP(B59,Sheet2!$A$2:$G$32,6,FALSE)</f>
        <v>41.637709000000001</v>
      </c>
      <c r="J59">
        <f>VLOOKUP(B59,Sheet2!$A$2:$G$32,7,FALSE)</f>
        <v>-87.499498000000003</v>
      </c>
      <c r="K59" t="str">
        <f>VLOOKUP(D59,Sheet2!$A$2:$G$32,2,FALSE)</f>
        <v>Chicago Metro Cold Warehouse</v>
      </c>
      <c r="L59" t="str">
        <f>VLOOKUP(D59,Sheet2!$A$2:$G$32,4,FALSE)</f>
        <v>Hammond (Chicago Metro)</v>
      </c>
      <c r="M59" t="str">
        <f>VLOOKUP(D59,Sheet2!$A$2:$G$32,5,FALSE)</f>
        <v>IN</v>
      </c>
      <c r="N59">
        <f>VLOOKUP(D59,Sheet2!$A$2:$G$32,6,FALSE)</f>
        <v>41.637709000000001</v>
      </c>
      <c r="O59">
        <f>VLOOKUP(D59,Sheet2!$A$2:$G$32,7,FALSE)</f>
        <v>-87.499498000000003</v>
      </c>
    </row>
    <row r="60" spans="1:15" x14ac:dyDescent="0.35">
      <c r="A60" s="2" t="s">
        <v>9</v>
      </c>
      <c r="B60" s="2" t="s">
        <v>106</v>
      </c>
      <c r="C60" s="2" t="s">
        <v>10</v>
      </c>
      <c r="D60" s="2" t="s">
        <v>75</v>
      </c>
      <c r="E60" s="3">
        <v>5186.9610000000002</v>
      </c>
      <c r="F60" t="str">
        <f>VLOOKUP(B60,Sheet2!$A$2:$G$32,2,FALSE)</f>
        <v>Harvesters Community Food Network</v>
      </c>
      <c r="G60" t="str">
        <f>VLOOKUP(B60,Sheet2!$A$2:$G$32,4,FALSE)</f>
        <v>Kansas City</v>
      </c>
      <c r="H60" t="str">
        <f>VLOOKUP(B60,Sheet2!$A$2:$G$32,5,FALSE)</f>
        <v>MO</v>
      </c>
      <c r="I60">
        <f>VLOOKUP(B60,Sheet2!$A$2:$G$32,6,FALSE)</f>
        <v>39.055128000000003</v>
      </c>
      <c r="J60">
        <f>VLOOKUP(B60,Sheet2!$A$2:$G$32,7,FALSE)</f>
        <v>-94.516656999999995</v>
      </c>
      <c r="K60" t="str">
        <f>VLOOKUP(D60,Sheet2!$A$2:$G$32,2,FALSE)</f>
        <v>St. Louis Metro Market</v>
      </c>
      <c r="L60" t="str">
        <f>VLOOKUP(D60,Sheet2!$A$2:$G$32,4,FALSE)</f>
        <v>St. Louis Metro</v>
      </c>
      <c r="M60" t="str">
        <f>VLOOKUP(D60,Sheet2!$A$2:$G$32,5,FALSE)</f>
        <v>MO–IL</v>
      </c>
      <c r="N60">
        <f>VLOOKUP(D60,Sheet2!$A$2:$G$32,6,FALSE)</f>
        <v>38.627732999999999</v>
      </c>
      <c r="O60">
        <f>VLOOKUP(D60,Sheet2!$A$2:$G$32,7,FALSE)</f>
        <v>-90.239333999999999</v>
      </c>
    </row>
    <row r="61" spans="1:15" x14ac:dyDescent="0.35">
      <c r="A61" s="2" t="s">
        <v>9</v>
      </c>
      <c r="B61" s="2" t="s">
        <v>106</v>
      </c>
      <c r="C61" s="2" t="s">
        <v>10</v>
      </c>
      <c r="D61" s="2" t="s">
        <v>80</v>
      </c>
      <c r="E61" s="3">
        <v>4067.9135999999999</v>
      </c>
      <c r="F61" t="str">
        <f>VLOOKUP(B61,Sheet2!$A$2:$G$32,2,FALSE)</f>
        <v>Harvesters Community Food Network</v>
      </c>
      <c r="G61" t="str">
        <f>VLOOKUP(B61,Sheet2!$A$2:$G$32,4,FALSE)</f>
        <v>Kansas City</v>
      </c>
      <c r="H61" t="str">
        <f>VLOOKUP(B61,Sheet2!$A$2:$G$32,5,FALSE)</f>
        <v>MO</v>
      </c>
      <c r="I61">
        <f>VLOOKUP(B61,Sheet2!$A$2:$G$32,6,FALSE)</f>
        <v>39.055128000000003</v>
      </c>
      <c r="J61">
        <f>VLOOKUP(B61,Sheet2!$A$2:$G$32,7,FALSE)</f>
        <v>-94.516656999999995</v>
      </c>
      <c r="K61" t="str">
        <f>VLOOKUP(D61,Sheet2!$A$2:$G$32,2,FALSE)</f>
        <v>Kansas City Metro Market</v>
      </c>
      <c r="L61" t="str">
        <f>VLOOKUP(D61,Sheet2!$A$2:$G$32,4,FALSE)</f>
        <v>Kansas City Metro</v>
      </c>
      <c r="M61" t="str">
        <f>VLOOKUP(D61,Sheet2!$A$2:$G$32,5,FALSE)</f>
        <v>MO–KS</v>
      </c>
      <c r="N61">
        <f>VLOOKUP(D61,Sheet2!$A$2:$G$32,6,FALSE)</f>
        <v>39.015926999999998</v>
      </c>
      <c r="O61">
        <f>VLOOKUP(D61,Sheet2!$A$2:$G$32,7,FALSE)</f>
        <v>-94.422894999999997</v>
      </c>
    </row>
    <row r="62" spans="1:15" x14ac:dyDescent="0.35">
      <c r="A62" s="2" t="s">
        <v>9</v>
      </c>
      <c r="B62" s="2" t="s">
        <v>108</v>
      </c>
      <c r="C62" s="2" t="s">
        <v>10</v>
      </c>
      <c r="D62" s="2" t="s">
        <v>89</v>
      </c>
      <c r="E62" s="3">
        <v>1577.43</v>
      </c>
      <c r="F62" t="str">
        <f>VLOOKUP(B62,Sheet2!$A$2:$G$32,2,FALSE)</f>
        <v>Rolla Retailers</v>
      </c>
      <c r="G62" t="str">
        <f>VLOOKUP(B62,Sheet2!$A$2:$G$32,4,FALSE)</f>
        <v>Rolla</v>
      </c>
      <c r="H62" t="str">
        <f>VLOOKUP(B62,Sheet2!$A$2:$G$32,5,FALSE)</f>
        <v>MO</v>
      </c>
      <c r="I62">
        <f>VLOOKUP(B62,Sheet2!$A$2:$G$32,6,FALSE)</f>
        <v>37.90654</v>
      </c>
      <c r="J62">
        <f>VLOOKUP(B62,Sheet2!$A$2:$G$32,7,FALSE)</f>
        <v>-91.793405000000007</v>
      </c>
      <c r="K62" t="str">
        <f>VLOOKUP(D62,Sheet2!$A$2:$G$32,2,FALSE)</f>
        <v>Bloomington Consumer Market</v>
      </c>
      <c r="L62" t="str">
        <f>VLOOKUP(D62,Sheet2!$A$2:$G$32,4,FALSE)</f>
        <v>Bloomington–Normal</v>
      </c>
      <c r="M62" t="str">
        <f>VLOOKUP(D62,Sheet2!$A$2:$G$32,5,FALSE)</f>
        <v>IL</v>
      </c>
      <c r="N62">
        <f>VLOOKUP(D62,Sheet2!$A$2:$G$32,6,FALSE)</f>
        <v>40.503591999999998</v>
      </c>
      <c r="O62">
        <f>VLOOKUP(D62,Sheet2!$A$2:$G$32,7,FALSE)</f>
        <v>-88.962800999999999</v>
      </c>
    </row>
    <row r="63" spans="1:15" x14ac:dyDescent="0.35">
      <c r="A63" s="2" t="s">
        <v>9</v>
      </c>
      <c r="B63" s="2" t="s">
        <v>111</v>
      </c>
      <c r="C63" s="2" t="s">
        <v>10</v>
      </c>
      <c r="D63" s="2" t="s">
        <v>84</v>
      </c>
      <c r="E63" s="2">
        <v>384.1506</v>
      </c>
      <c r="F63" t="str">
        <f>VLOOKUP(B63,Sheet2!$A$2:$G$32,2,FALSE)</f>
        <v>St. Louis Metro Market</v>
      </c>
      <c r="G63" t="str">
        <f>VLOOKUP(B63,Sheet2!$A$2:$G$32,4,FALSE)</f>
        <v>St. Louis Metro</v>
      </c>
      <c r="H63" t="str">
        <f>VLOOKUP(B63,Sheet2!$A$2:$G$32,5,FALSE)</f>
        <v>MO–IL</v>
      </c>
      <c r="I63">
        <f>VLOOKUP(B63,Sheet2!$A$2:$G$32,6,FALSE)</f>
        <v>38.627732999999999</v>
      </c>
      <c r="J63">
        <f>VLOOKUP(B63,Sheet2!$A$2:$G$32,7,FALSE)</f>
        <v>-90.239333999999999</v>
      </c>
      <c r="K63" t="str">
        <f>VLOOKUP(D63,Sheet2!$A$2:$G$32,2,FALSE)</f>
        <v>Springfield Consumer Market</v>
      </c>
      <c r="L63" t="str">
        <f>VLOOKUP(D63,Sheet2!$A$2:$G$32,4,FALSE)</f>
        <v>Springfield</v>
      </c>
      <c r="M63" t="str">
        <f>VLOOKUP(D63,Sheet2!$A$2:$G$32,5,FALSE)</f>
        <v>MO</v>
      </c>
      <c r="N63">
        <f>VLOOKUP(D63,Sheet2!$A$2:$G$32,6,FALSE)</f>
        <v>37.161437999999997</v>
      </c>
      <c r="O63">
        <f>VLOOKUP(D63,Sheet2!$A$2:$G$32,7,FALSE)</f>
        <v>-93.283608000000001</v>
      </c>
    </row>
    <row r="64" spans="1:15" x14ac:dyDescent="0.35">
      <c r="A64" s="2" t="s">
        <v>9</v>
      </c>
      <c r="B64" s="2" t="s">
        <v>111</v>
      </c>
      <c r="C64" s="2" t="s">
        <v>10</v>
      </c>
      <c r="D64" s="2" t="s">
        <v>86</v>
      </c>
      <c r="E64" s="3">
        <v>8924.5421999999999</v>
      </c>
      <c r="F64" t="str">
        <f>VLOOKUP(B64,Sheet2!$A$2:$G$32,2,FALSE)</f>
        <v>St. Louis Metro Market</v>
      </c>
      <c r="G64" t="str">
        <f>VLOOKUP(B64,Sheet2!$A$2:$G$32,4,FALSE)</f>
        <v>St. Louis Metro</v>
      </c>
      <c r="H64" t="str">
        <f>VLOOKUP(B64,Sheet2!$A$2:$G$32,5,FALSE)</f>
        <v>MO–IL</v>
      </c>
      <c r="I64">
        <f>VLOOKUP(B64,Sheet2!$A$2:$G$32,6,FALSE)</f>
        <v>38.627732999999999</v>
      </c>
      <c r="J64">
        <f>VLOOKUP(B64,Sheet2!$A$2:$G$32,7,FALSE)</f>
        <v>-90.239333999999999</v>
      </c>
      <c r="K64" t="str">
        <f>VLOOKUP(D64,Sheet2!$A$2:$G$32,2,FALSE)</f>
        <v>Chicago Metro Market</v>
      </c>
      <c r="L64" t="str">
        <f>VLOOKUP(D64,Sheet2!$A$2:$G$32,4,FALSE)</f>
        <v>Chicago</v>
      </c>
      <c r="M64" t="str">
        <f>VLOOKUP(D64,Sheet2!$A$2:$G$32,5,FALSE)</f>
        <v>IL</v>
      </c>
      <c r="N64">
        <f>VLOOKUP(D64,Sheet2!$A$2:$G$32,6,FALSE)</f>
        <v>41.877749999999999</v>
      </c>
      <c r="O64">
        <f>VLOOKUP(D64,Sheet2!$A$2:$G$32,7,FALSE)</f>
        <v>-87.867125999999999</v>
      </c>
    </row>
    <row r="65" spans="1:15" x14ac:dyDescent="0.35">
      <c r="A65" s="2" t="s">
        <v>9</v>
      </c>
      <c r="B65" s="2" t="s">
        <v>112</v>
      </c>
      <c r="C65" s="2" t="s">
        <v>10</v>
      </c>
      <c r="D65" s="2" t="s">
        <v>92</v>
      </c>
      <c r="E65" s="3">
        <v>1201.8161</v>
      </c>
      <c r="F65" t="str">
        <f>VLOOKUP(B65,Sheet2!$A$2:$G$32,2,FALSE)</f>
        <v>Chicago Metro Cold Warehouse</v>
      </c>
      <c r="G65" t="str">
        <f>VLOOKUP(B65,Sheet2!$A$2:$G$32,4,FALSE)</f>
        <v>Hammond (Chicago Metro)</v>
      </c>
      <c r="H65" t="str">
        <f>VLOOKUP(B65,Sheet2!$A$2:$G$32,5,FALSE)</f>
        <v>IN</v>
      </c>
      <c r="I65">
        <f>VLOOKUP(B65,Sheet2!$A$2:$G$32,6,FALSE)</f>
        <v>41.637709000000001</v>
      </c>
      <c r="J65">
        <f>VLOOKUP(B65,Sheet2!$A$2:$G$32,7,FALSE)</f>
        <v>-87.499498000000003</v>
      </c>
      <c r="K65" t="str">
        <f>VLOOKUP(D65,Sheet2!$A$2:$G$32,2,FALSE)</f>
        <v>Wichita Consumer Market</v>
      </c>
      <c r="L65" t="str">
        <f>VLOOKUP(D65,Sheet2!$A$2:$G$32,4,FALSE)</f>
        <v>Wichita</v>
      </c>
      <c r="M65" t="str">
        <f>VLOOKUP(D65,Sheet2!$A$2:$G$32,5,FALSE)</f>
        <v>KS</v>
      </c>
      <c r="N65">
        <f>VLOOKUP(D65,Sheet2!$A$2:$G$32,6,FALSE)</f>
        <v>37.682581999999996</v>
      </c>
      <c r="O65">
        <f>VLOOKUP(D65,Sheet2!$A$2:$G$32,7,FALSE)</f>
        <v>-97.378635000000003</v>
      </c>
    </row>
    <row r="66" spans="1:15" x14ac:dyDescent="0.35">
      <c r="A66" s="2" t="s">
        <v>9</v>
      </c>
      <c r="B66" s="2" t="s">
        <v>112</v>
      </c>
      <c r="C66" s="2" t="s">
        <v>10</v>
      </c>
      <c r="D66" s="2" t="s">
        <v>95</v>
      </c>
      <c r="E66" s="2">
        <v>237.54239999999999</v>
      </c>
      <c r="F66" t="str">
        <f>VLOOKUP(B66,Sheet2!$A$2:$G$32,2,FALSE)</f>
        <v>Chicago Metro Cold Warehouse</v>
      </c>
      <c r="G66" t="str">
        <f>VLOOKUP(B66,Sheet2!$A$2:$G$32,4,FALSE)</f>
        <v>Hammond (Chicago Metro)</v>
      </c>
      <c r="H66" t="str">
        <f>VLOOKUP(B66,Sheet2!$A$2:$G$32,5,FALSE)</f>
        <v>IN</v>
      </c>
      <c r="I66">
        <f>VLOOKUP(B66,Sheet2!$A$2:$G$32,6,FALSE)</f>
        <v>41.637709000000001</v>
      </c>
      <c r="J66">
        <f>VLOOKUP(B66,Sheet2!$A$2:$G$32,7,FALSE)</f>
        <v>-87.499498000000003</v>
      </c>
      <c r="K66" t="str">
        <f>VLOOKUP(D66,Sheet2!$A$2:$G$32,2,FALSE)</f>
        <v>Saint Francis Consumer Market</v>
      </c>
      <c r="L66" t="str">
        <f>VLOOKUP(D66,Sheet2!$A$2:$G$32,4,FALSE)</f>
        <v>Saint Francis</v>
      </c>
      <c r="M66" t="str">
        <f>VLOOKUP(D66,Sheet2!$A$2:$G$32,5,FALSE)</f>
        <v>KS</v>
      </c>
      <c r="N66">
        <f>VLOOKUP(D66,Sheet2!$A$2:$G$32,6,FALSE)</f>
        <v>39.772092999999998</v>
      </c>
      <c r="O66">
        <f>VLOOKUP(D66,Sheet2!$A$2:$G$32,7,FALSE)</f>
        <v>-101.8015</v>
      </c>
    </row>
    <row r="67" spans="1:15" x14ac:dyDescent="0.35">
      <c r="A67" s="2" t="s">
        <v>5</v>
      </c>
      <c r="B67" s="2" t="s">
        <v>42</v>
      </c>
      <c r="C67" s="2" t="s">
        <v>8</v>
      </c>
      <c r="D67" s="2" t="s">
        <v>63</v>
      </c>
      <c r="E67" s="3">
        <v>26666.666700000002</v>
      </c>
      <c r="F67" t="str">
        <f>VLOOKUP(B67,Sheet2!$A$2:$G$32,2,FALSE)</f>
        <v>Springfield Processor</v>
      </c>
      <c r="G67" t="str">
        <f>VLOOKUP(B67,Sheet2!$A$2:$G$32,4,FALSE)</f>
        <v>Springfield</v>
      </c>
      <c r="H67" t="str">
        <f>VLOOKUP(B67,Sheet2!$A$2:$G$32,5,FALSE)</f>
        <v>IL</v>
      </c>
      <c r="I67">
        <f>VLOOKUP(B67,Sheet2!$A$2:$G$32,6,FALSE)</f>
        <v>39.841932999999997</v>
      </c>
      <c r="J67">
        <f>VLOOKUP(B67,Sheet2!$A$2:$G$32,7,FALSE)</f>
        <v>-89.642167000000001</v>
      </c>
      <c r="K67" t="str">
        <f>VLOOKUP(D67,Sheet2!$A$2:$G$32,2,FALSE)</f>
        <v>St. Louis Regional Cold DC</v>
      </c>
      <c r="L67" t="str">
        <f>VLOOKUP(D67,Sheet2!$A$2:$G$32,4,FALSE)</f>
        <v>O'Fallon</v>
      </c>
      <c r="M67" t="str">
        <f>VLOOKUP(D67,Sheet2!$A$2:$G$32,5,FALSE)</f>
        <v>MO</v>
      </c>
      <c r="N67">
        <f>VLOOKUP(D67,Sheet2!$A$2:$G$32,6,FALSE)</f>
        <v>38.781930000000003</v>
      </c>
      <c r="O67">
        <f>VLOOKUP(D67,Sheet2!$A$2:$G$32,7,FALSE)</f>
        <v>-90.528041000000002</v>
      </c>
    </row>
    <row r="68" spans="1:15" x14ac:dyDescent="0.35">
      <c r="A68" s="2" t="s">
        <v>5</v>
      </c>
      <c r="B68" s="2" t="s">
        <v>46</v>
      </c>
      <c r="C68" s="2" t="s">
        <v>8</v>
      </c>
      <c r="D68" s="2" t="s">
        <v>67</v>
      </c>
      <c r="E68" s="3">
        <v>47929.62</v>
      </c>
      <c r="F68" t="str">
        <f>VLOOKUP(B68,Sheet2!$A$2:$G$32,2,FALSE)</f>
        <v>St. Louis Processing Facility</v>
      </c>
      <c r="G68" t="str">
        <f>VLOOKUP(B68,Sheet2!$A$2:$G$32,4,FALSE)</f>
        <v>St. Louis</v>
      </c>
      <c r="H68" t="str">
        <f>VLOOKUP(B68,Sheet2!$A$2:$G$32,5,FALSE)</f>
        <v>MO</v>
      </c>
      <c r="I68">
        <f>VLOOKUP(B68,Sheet2!$A$2:$G$32,6,FALSE)</f>
        <v>38.540593000000001</v>
      </c>
      <c r="J68">
        <f>VLOOKUP(B68,Sheet2!$A$2:$G$32,7,FALSE)</f>
        <v>-90.460896000000005</v>
      </c>
      <c r="K68" t="str">
        <f>VLOOKUP(D68,Sheet2!$A$2:$G$32,2,FALSE)</f>
        <v>Kansas City Cold Storage Hub</v>
      </c>
      <c r="L68" t="str">
        <f>VLOOKUP(D68,Sheet2!$A$2:$G$32,4,FALSE)</f>
        <v>Kansas City</v>
      </c>
      <c r="M68" t="str">
        <f>VLOOKUP(D68,Sheet2!$A$2:$G$32,5,FALSE)</f>
        <v>MO</v>
      </c>
      <c r="N68">
        <f>VLOOKUP(D68,Sheet2!$A$2:$G$32,6,FALSE)</f>
        <v>38.854474000000003</v>
      </c>
      <c r="O68">
        <f>VLOOKUP(D68,Sheet2!$A$2:$G$32,7,FALSE)</f>
        <v>-94.537951000000007</v>
      </c>
    </row>
    <row r="69" spans="1:15" x14ac:dyDescent="0.35">
      <c r="A69" s="2" t="s">
        <v>5</v>
      </c>
      <c r="B69" s="2" t="s">
        <v>49</v>
      </c>
      <c r="C69" s="2" t="s">
        <v>8</v>
      </c>
      <c r="D69" s="2" t="s">
        <v>71</v>
      </c>
      <c r="E69" s="3">
        <v>4000</v>
      </c>
      <c r="F69" t="str">
        <f>VLOOKUP(B69,Sheet2!$A$2:$G$32,2,FALSE)</f>
        <v>Kansas City Processing Hub</v>
      </c>
      <c r="G69" t="str">
        <f>VLOOKUP(B69,Sheet2!$A$2:$G$32,4,FALSE)</f>
        <v>Topeka</v>
      </c>
      <c r="H69" t="str">
        <f>VLOOKUP(B69,Sheet2!$A$2:$G$32,5,FALSE)</f>
        <v>KS</v>
      </c>
      <c r="I69">
        <f>VLOOKUP(B69,Sheet2!$A$2:$G$32,6,FALSE)</f>
        <v>39.161321000000001</v>
      </c>
      <c r="J69">
        <f>VLOOKUP(B69,Sheet2!$A$2:$G$32,7,FALSE)</f>
        <v>-95.665030000000002</v>
      </c>
      <c r="K69" t="str">
        <f>VLOOKUP(D69,Sheet2!$A$2:$G$32,2,FALSE)</f>
        <v>Chicago Metro Cold Warehouse</v>
      </c>
      <c r="L69" t="str">
        <f>VLOOKUP(D69,Sheet2!$A$2:$G$32,4,FALSE)</f>
        <v>Hammond (Chicago Metro)</v>
      </c>
      <c r="M69" t="str">
        <f>VLOOKUP(D69,Sheet2!$A$2:$G$32,5,FALSE)</f>
        <v>IN</v>
      </c>
      <c r="N69">
        <f>VLOOKUP(D69,Sheet2!$A$2:$G$32,6,FALSE)</f>
        <v>41.637709000000001</v>
      </c>
      <c r="O69">
        <f>VLOOKUP(D69,Sheet2!$A$2:$G$32,7,FALSE)</f>
        <v>-87.499498000000003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1D408-717F-456C-90C5-13FAE8735491}">
  <dimension ref="A1:G32"/>
  <sheetViews>
    <sheetView workbookViewId="0">
      <selection activeCell="E1" sqref="E1"/>
    </sheetView>
  </sheetViews>
  <sheetFormatPr defaultRowHeight="14.5" x14ac:dyDescent="0.35"/>
  <cols>
    <col min="1" max="1" width="11.54296875" bestFit="1" customWidth="1"/>
    <col min="2" max="2" width="33.36328125" bestFit="1" customWidth="1"/>
    <col min="3" max="3" width="23.26953125" bestFit="1" customWidth="1"/>
    <col min="4" max="4" width="24" bestFit="1" customWidth="1"/>
    <col min="5" max="5" width="6.90625" bestFit="1" customWidth="1"/>
    <col min="6" max="6" width="9.81640625" bestFit="1" customWidth="1"/>
    <col min="7" max="7" width="10.453125" bestFit="1" customWidth="1"/>
    <col min="8" max="10" width="8.54296875" customWidth="1"/>
  </cols>
  <sheetData>
    <row r="1" spans="1:7" x14ac:dyDescent="0.35">
      <c r="A1" s="4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</row>
    <row r="2" spans="1:7" x14ac:dyDescent="0.35">
      <c r="A2" s="6" t="s">
        <v>18</v>
      </c>
      <c r="B2" s="7" t="s">
        <v>19</v>
      </c>
      <c r="C2" s="7" t="s">
        <v>20</v>
      </c>
      <c r="D2" s="7" t="s">
        <v>21</v>
      </c>
      <c r="E2" s="7" t="s">
        <v>22</v>
      </c>
      <c r="F2" s="7">
        <v>38.752989999999997</v>
      </c>
      <c r="G2" s="7">
        <v>-93.304969999999997</v>
      </c>
    </row>
    <row r="3" spans="1:7" x14ac:dyDescent="0.35">
      <c r="A3" s="6" t="s">
        <v>23</v>
      </c>
      <c r="B3" s="7" t="s">
        <v>24</v>
      </c>
      <c r="C3" s="7" t="s">
        <v>20</v>
      </c>
      <c r="D3" s="7" t="s">
        <v>25</v>
      </c>
      <c r="E3" s="7" t="s">
        <v>22</v>
      </c>
      <c r="F3" s="7">
        <v>37.280709999999999</v>
      </c>
      <c r="G3" s="7">
        <v>-93.242500000000007</v>
      </c>
    </row>
    <row r="4" spans="1:7" x14ac:dyDescent="0.35">
      <c r="A4" s="6" t="s">
        <v>26</v>
      </c>
      <c r="B4" s="7" t="s">
        <v>27</v>
      </c>
      <c r="C4" s="7" t="s">
        <v>20</v>
      </c>
      <c r="D4" s="7" t="s">
        <v>28</v>
      </c>
      <c r="E4" s="7" t="s">
        <v>29</v>
      </c>
      <c r="F4" s="7">
        <v>38.01708</v>
      </c>
      <c r="G4" s="7">
        <v>-89.014179999999996</v>
      </c>
    </row>
    <row r="5" spans="1:7" x14ac:dyDescent="0.35">
      <c r="A5" s="6" t="s">
        <v>30</v>
      </c>
      <c r="B5" s="7" t="s">
        <v>31</v>
      </c>
      <c r="C5" s="7" t="s">
        <v>20</v>
      </c>
      <c r="D5" s="7" t="s">
        <v>32</v>
      </c>
      <c r="E5" s="7" t="s">
        <v>22</v>
      </c>
      <c r="F5" s="7">
        <v>38.931370000000001</v>
      </c>
      <c r="G5" s="7">
        <v>-90.123019999999997</v>
      </c>
    </row>
    <row r="6" spans="1:7" x14ac:dyDescent="0.35">
      <c r="A6" s="6" t="s">
        <v>33</v>
      </c>
      <c r="B6" s="7" t="s">
        <v>34</v>
      </c>
      <c r="C6" s="7" t="s">
        <v>20</v>
      </c>
      <c r="D6" s="7" t="s">
        <v>35</v>
      </c>
      <c r="E6" s="7" t="s">
        <v>29</v>
      </c>
      <c r="F6" s="7">
        <v>40.820070000000001</v>
      </c>
      <c r="G6" s="7">
        <v>-89.412880000000001</v>
      </c>
    </row>
    <row r="7" spans="1:7" x14ac:dyDescent="0.35">
      <c r="A7" s="6" t="s">
        <v>36</v>
      </c>
      <c r="B7" s="7" t="s">
        <v>37</v>
      </c>
      <c r="C7" s="7" t="s">
        <v>20</v>
      </c>
      <c r="D7" s="7" t="s">
        <v>38</v>
      </c>
      <c r="E7" s="7" t="s">
        <v>22</v>
      </c>
      <c r="F7" s="7">
        <v>37.04421</v>
      </c>
      <c r="G7" s="7">
        <v>-94.447550000000007</v>
      </c>
    </row>
    <row r="8" spans="1:7" x14ac:dyDescent="0.35">
      <c r="A8" s="6" t="s">
        <v>39</v>
      </c>
      <c r="B8" s="7" t="s">
        <v>40</v>
      </c>
      <c r="C8" s="7" t="s">
        <v>20</v>
      </c>
      <c r="D8" s="7" t="s">
        <v>41</v>
      </c>
      <c r="E8" s="7" t="s">
        <v>29</v>
      </c>
      <c r="F8" s="7">
        <v>38.525469999999999</v>
      </c>
      <c r="G8" s="7">
        <v>-90.156570000000002</v>
      </c>
    </row>
    <row r="9" spans="1:7" x14ac:dyDescent="0.35">
      <c r="A9" s="8" t="s">
        <v>42</v>
      </c>
      <c r="B9" s="9" t="s">
        <v>43</v>
      </c>
      <c r="C9" s="9" t="s">
        <v>44</v>
      </c>
      <c r="D9" s="9" t="s">
        <v>45</v>
      </c>
      <c r="E9" s="9" t="s">
        <v>29</v>
      </c>
      <c r="F9" s="9">
        <v>39.841932999999997</v>
      </c>
      <c r="G9" s="9">
        <v>-89.642167000000001</v>
      </c>
    </row>
    <row r="10" spans="1:7" x14ac:dyDescent="0.35">
      <c r="A10" s="6" t="s">
        <v>46</v>
      </c>
      <c r="B10" s="7" t="s">
        <v>47</v>
      </c>
      <c r="C10" s="7" t="s">
        <v>44</v>
      </c>
      <c r="D10" s="7" t="s">
        <v>48</v>
      </c>
      <c r="E10" s="7" t="s">
        <v>22</v>
      </c>
      <c r="F10" s="7">
        <v>38.540593000000001</v>
      </c>
      <c r="G10" s="7">
        <v>-90.460896000000005</v>
      </c>
    </row>
    <row r="11" spans="1:7" x14ac:dyDescent="0.35">
      <c r="A11" s="6" t="s">
        <v>49</v>
      </c>
      <c r="B11" s="7" t="s">
        <v>50</v>
      </c>
      <c r="C11" s="7" t="s">
        <v>44</v>
      </c>
      <c r="D11" s="7" t="s">
        <v>51</v>
      </c>
      <c r="E11" s="7" t="s">
        <v>52</v>
      </c>
      <c r="F11" s="7">
        <v>39.161321000000001</v>
      </c>
      <c r="G11" s="7">
        <v>-95.665030000000002</v>
      </c>
    </row>
    <row r="12" spans="1:7" x14ac:dyDescent="0.35">
      <c r="A12" s="6" t="s">
        <v>53</v>
      </c>
      <c r="B12" s="7" t="s">
        <v>54</v>
      </c>
      <c r="C12" s="7" t="s">
        <v>44</v>
      </c>
      <c r="D12" s="7" t="s">
        <v>55</v>
      </c>
      <c r="E12" s="7" t="s">
        <v>22</v>
      </c>
      <c r="F12" s="7">
        <v>36.917831999999997</v>
      </c>
      <c r="G12" s="7">
        <v>-93.914219000000003</v>
      </c>
    </row>
    <row r="13" spans="1:7" x14ac:dyDescent="0.35">
      <c r="A13" s="6" t="s">
        <v>56</v>
      </c>
      <c r="B13" s="7" t="s">
        <v>57</v>
      </c>
      <c r="C13" s="7" t="s">
        <v>44</v>
      </c>
      <c r="D13" s="7" t="s">
        <v>58</v>
      </c>
      <c r="E13" s="7" t="s">
        <v>29</v>
      </c>
      <c r="F13" s="7">
        <v>40.704707999999997</v>
      </c>
      <c r="G13" s="7">
        <v>-89.272330999999994</v>
      </c>
    </row>
    <row r="14" spans="1:7" x14ac:dyDescent="0.35">
      <c r="A14" s="10" t="s">
        <v>59</v>
      </c>
      <c r="B14" s="11" t="s">
        <v>60</v>
      </c>
      <c r="C14" s="11" t="s">
        <v>44</v>
      </c>
      <c r="D14" s="11" t="s">
        <v>61</v>
      </c>
      <c r="E14" s="11" t="s">
        <v>62</v>
      </c>
      <c r="F14" s="11">
        <v>35.496490999999999</v>
      </c>
      <c r="G14" s="11">
        <v>-94.299086000000003</v>
      </c>
    </row>
    <row r="15" spans="1:7" x14ac:dyDescent="0.35">
      <c r="A15" s="6" t="s">
        <v>63</v>
      </c>
      <c r="B15" s="7" t="s">
        <v>64</v>
      </c>
      <c r="C15" s="7" t="s">
        <v>65</v>
      </c>
      <c r="D15" s="7" t="s">
        <v>66</v>
      </c>
      <c r="E15" s="7" t="s">
        <v>22</v>
      </c>
      <c r="F15" s="7">
        <v>38.781930000000003</v>
      </c>
      <c r="G15" s="7">
        <v>-90.528041000000002</v>
      </c>
    </row>
    <row r="16" spans="1:7" x14ac:dyDescent="0.35">
      <c r="A16" s="6" t="s">
        <v>67</v>
      </c>
      <c r="B16" s="7" t="s">
        <v>68</v>
      </c>
      <c r="C16" s="7" t="s">
        <v>69</v>
      </c>
      <c r="D16" s="7" t="s">
        <v>70</v>
      </c>
      <c r="E16" s="7" t="s">
        <v>22</v>
      </c>
      <c r="F16" s="7">
        <v>38.854474000000003</v>
      </c>
      <c r="G16" s="7">
        <v>-94.537951000000007</v>
      </c>
    </row>
    <row r="17" spans="1:7" x14ac:dyDescent="0.35">
      <c r="A17" s="12" t="s">
        <v>71</v>
      </c>
      <c r="B17" s="13" t="s">
        <v>72</v>
      </c>
      <c r="C17" s="13" t="s">
        <v>69</v>
      </c>
      <c r="D17" s="13" t="s">
        <v>73</v>
      </c>
      <c r="E17" s="13" t="s">
        <v>74</v>
      </c>
      <c r="F17" s="13">
        <v>41.637709000000001</v>
      </c>
      <c r="G17" s="13">
        <v>-87.499498000000003</v>
      </c>
    </row>
    <row r="18" spans="1:7" x14ac:dyDescent="0.35">
      <c r="A18" s="6" t="s">
        <v>75</v>
      </c>
      <c r="B18" s="7" t="s">
        <v>76</v>
      </c>
      <c r="C18" s="7" t="s">
        <v>77</v>
      </c>
      <c r="D18" s="7" t="s">
        <v>78</v>
      </c>
      <c r="E18" s="7" t="s">
        <v>79</v>
      </c>
      <c r="F18" s="7">
        <v>38.627732999999999</v>
      </c>
      <c r="G18" s="7">
        <v>-90.239333999999999</v>
      </c>
    </row>
    <row r="19" spans="1:7" x14ac:dyDescent="0.35">
      <c r="A19" s="6" t="s">
        <v>80</v>
      </c>
      <c r="B19" s="7" t="s">
        <v>81</v>
      </c>
      <c r="C19" s="7" t="s">
        <v>77</v>
      </c>
      <c r="D19" s="7" t="s">
        <v>82</v>
      </c>
      <c r="E19" s="7" t="s">
        <v>83</v>
      </c>
      <c r="F19" s="7">
        <v>39.015926999999998</v>
      </c>
      <c r="G19" s="7">
        <v>-94.422894999999997</v>
      </c>
    </row>
    <row r="20" spans="1:7" x14ac:dyDescent="0.35">
      <c r="A20" s="6" t="s">
        <v>84</v>
      </c>
      <c r="B20" s="7" t="s">
        <v>85</v>
      </c>
      <c r="C20" s="7" t="s">
        <v>77</v>
      </c>
      <c r="D20" s="7" t="s">
        <v>45</v>
      </c>
      <c r="E20" s="7" t="s">
        <v>22</v>
      </c>
      <c r="F20" s="7">
        <v>37.161437999999997</v>
      </c>
      <c r="G20" s="7">
        <v>-93.283608000000001</v>
      </c>
    </row>
    <row r="21" spans="1:7" x14ac:dyDescent="0.35">
      <c r="A21" s="6" t="s">
        <v>86</v>
      </c>
      <c r="B21" s="7" t="s">
        <v>87</v>
      </c>
      <c r="C21" s="7" t="s">
        <v>77</v>
      </c>
      <c r="D21" s="7" t="s">
        <v>88</v>
      </c>
      <c r="E21" s="7" t="s">
        <v>29</v>
      </c>
      <c r="F21" s="7">
        <v>41.877749999999999</v>
      </c>
      <c r="G21" s="7">
        <v>-87.867125999999999</v>
      </c>
    </row>
    <row r="22" spans="1:7" x14ac:dyDescent="0.35">
      <c r="A22" s="6" t="s">
        <v>89</v>
      </c>
      <c r="B22" s="7" t="s">
        <v>90</v>
      </c>
      <c r="C22" s="7" t="s">
        <v>77</v>
      </c>
      <c r="D22" s="7" t="s">
        <v>91</v>
      </c>
      <c r="E22" s="7" t="s">
        <v>29</v>
      </c>
      <c r="F22" s="7">
        <v>40.503591999999998</v>
      </c>
      <c r="G22" s="7">
        <v>-88.962800999999999</v>
      </c>
    </row>
    <row r="23" spans="1:7" x14ac:dyDescent="0.35">
      <c r="A23" s="6" t="s">
        <v>92</v>
      </c>
      <c r="B23" s="7" t="s">
        <v>93</v>
      </c>
      <c r="C23" s="7" t="s">
        <v>77</v>
      </c>
      <c r="D23" s="7" t="s">
        <v>94</v>
      </c>
      <c r="E23" s="7" t="s">
        <v>52</v>
      </c>
      <c r="F23" s="7">
        <v>37.682581999999996</v>
      </c>
      <c r="G23" s="7">
        <v>-97.378635000000003</v>
      </c>
    </row>
    <row r="24" spans="1:7" x14ac:dyDescent="0.35">
      <c r="A24" s="10" t="s">
        <v>95</v>
      </c>
      <c r="B24" s="11" t="s">
        <v>96</v>
      </c>
      <c r="C24" s="11" t="s">
        <v>77</v>
      </c>
      <c r="D24" s="11" t="s">
        <v>97</v>
      </c>
      <c r="E24" s="11" t="s">
        <v>52</v>
      </c>
      <c r="F24" s="11">
        <v>39.772092999999998</v>
      </c>
      <c r="G24" s="11">
        <v>-101.8015</v>
      </c>
    </row>
    <row r="25" spans="1:7" x14ac:dyDescent="0.35">
      <c r="A25" s="6" t="s">
        <v>98</v>
      </c>
      <c r="B25" s="7" t="s">
        <v>99</v>
      </c>
      <c r="C25" s="7" t="s">
        <v>100</v>
      </c>
      <c r="D25" s="7" t="s">
        <v>48</v>
      </c>
      <c r="E25" s="7" t="s">
        <v>22</v>
      </c>
      <c r="F25" s="7">
        <v>38.784303000000001</v>
      </c>
      <c r="G25" s="7">
        <v>-90.459961000000007</v>
      </c>
    </row>
    <row r="26" spans="1:7" x14ac:dyDescent="0.35">
      <c r="A26" s="6" t="s">
        <v>101</v>
      </c>
      <c r="B26" s="7" t="s">
        <v>102</v>
      </c>
      <c r="C26" s="7" t="s">
        <v>100</v>
      </c>
      <c r="D26" s="7" t="s">
        <v>103</v>
      </c>
      <c r="E26" s="7" t="s">
        <v>29</v>
      </c>
      <c r="F26" s="7">
        <v>41.518402000000002</v>
      </c>
      <c r="G26" s="7">
        <v>-88.128170999999995</v>
      </c>
    </row>
    <row r="27" spans="1:7" x14ac:dyDescent="0.35">
      <c r="A27" s="10" t="s">
        <v>104</v>
      </c>
      <c r="B27" s="11" t="s">
        <v>105</v>
      </c>
      <c r="C27" s="11" t="s">
        <v>100</v>
      </c>
      <c r="D27" s="11" t="s">
        <v>25</v>
      </c>
      <c r="E27" s="11" t="s">
        <v>29</v>
      </c>
      <c r="F27" s="11">
        <v>39.794673000000003</v>
      </c>
      <c r="G27" s="11">
        <v>-89.628459000000007</v>
      </c>
    </row>
    <row r="28" spans="1:7" x14ac:dyDescent="0.35">
      <c r="A28" s="6" t="s">
        <v>106</v>
      </c>
      <c r="B28" s="7" t="s">
        <v>107</v>
      </c>
      <c r="C28" s="7" t="s">
        <v>100</v>
      </c>
      <c r="D28" s="7" t="s">
        <v>70</v>
      </c>
      <c r="E28" s="7" t="s">
        <v>22</v>
      </c>
      <c r="F28" s="7">
        <v>39.055128000000003</v>
      </c>
      <c r="G28" s="7">
        <v>-94.516656999999995</v>
      </c>
    </row>
    <row r="29" spans="1:7" x14ac:dyDescent="0.35">
      <c r="A29" s="14" t="s">
        <v>108</v>
      </c>
      <c r="B29" s="14" t="s">
        <v>109</v>
      </c>
      <c r="C29" s="14"/>
      <c r="D29" s="14" t="s">
        <v>110</v>
      </c>
      <c r="E29" s="14" t="s">
        <v>22</v>
      </c>
      <c r="F29" s="14">
        <v>37.90654</v>
      </c>
      <c r="G29" s="14">
        <v>-91.793405000000007</v>
      </c>
    </row>
    <row r="30" spans="1:7" x14ac:dyDescent="0.35">
      <c r="A30" s="6" t="s">
        <v>111</v>
      </c>
      <c r="B30" s="7" t="s">
        <v>76</v>
      </c>
      <c r="C30" s="7" t="s">
        <v>77</v>
      </c>
      <c r="D30" s="7" t="s">
        <v>78</v>
      </c>
      <c r="E30" s="7" t="s">
        <v>79</v>
      </c>
      <c r="F30" s="7">
        <v>38.627732999999999</v>
      </c>
      <c r="G30" s="7">
        <v>-90.239333999999999</v>
      </c>
    </row>
    <row r="31" spans="1:7" x14ac:dyDescent="0.35">
      <c r="A31" s="15" t="s">
        <v>112</v>
      </c>
      <c r="B31" s="16" t="s">
        <v>72</v>
      </c>
      <c r="C31" s="16" t="s">
        <v>69</v>
      </c>
      <c r="D31" s="16" t="s">
        <v>73</v>
      </c>
      <c r="E31" s="16" t="s">
        <v>74</v>
      </c>
      <c r="F31" s="16">
        <v>41.637709000000001</v>
      </c>
      <c r="G31" s="16">
        <v>-87.499498000000003</v>
      </c>
    </row>
    <row r="32" spans="1:7" x14ac:dyDescent="0.35">
      <c r="A32" s="6" t="s">
        <v>113</v>
      </c>
      <c r="B32" s="7" t="s">
        <v>114</v>
      </c>
      <c r="C32" s="7" t="s">
        <v>44</v>
      </c>
      <c r="D32" s="7" t="s">
        <v>45</v>
      </c>
      <c r="E32" s="7" t="s">
        <v>22</v>
      </c>
      <c r="F32" s="7">
        <v>37.225386999999998</v>
      </c>
      <c r="G32" s="7">
        <v>-93.352292000000006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Koirala, Sushant (UMSL-Student)</dc:creator>
  <cp:lastModifiedBy>Koirala, Sushant (UMSL-Student)</cp:lastModifiedBy>
  <dcterms:created xsi:type="dcterms:W3CDTF">2026-03-15T02:21:24Z</dcterms:created>
  <dcterms:modified xsi:type="dcterms:W3CDTF">2026-03-15T02:30:02Z</dcterms:modified>
</cp:coreProperties>
</file>